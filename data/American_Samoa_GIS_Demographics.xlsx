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kp9\R\USAPI\American Samoa\"/>
    </mc:Choice>
  </mc:AlternateContent>
  <xr:revisionPtr revIDLastSave="0" documentId="8_{23B102AC-D7A8-4C41-AF07-4FDC6D9EFC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IS Crosswalk" sheetId="1" r:id="rId1"/>
    <sheet name="Official Villages" sheetId="2" r:id="rId2"/>
    <sheet name="Counties" sheetId="3" r:id="rId3"/>
    <sheet name="Sources &amp; Metho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3" l="1"/>
  <c r="K21" i="3"/>
  <c r="M21" i="3" s="1"/>
  <c r="L20" i="3"/>
  <c r="K20" i="3"/>
  <c r="M20" i="3" s="1"/>
  <c r="L19" i="3"/>
  <c r="K19" i="3"/>
  <c r="M19" i="3" s="1"/>
  <c r="L18" i="3"/>
  <c r="K18" i="3"/>
  <c r="M18" i="3" s="1"/>
  <c r="L17" i="3"/>
  <c r="K17" i="3"/>
  <c r="M17" i="3" s="1"/>
  <c r="L16" i="3"/>
  <c r="K16" i="3"/>
  <c r="M16" i="3" s="1"/>
  <c r="M15" i="3"/>
  <c r="L15" i="3"/>
  <c r="K15" i="3"/>
  <c r="L14" i="3"/>
  <c r="K14" i="3"/>
  <c r="M14" i="3" s="1"/>
  <c r="L13" i="3"/>
  <c r="K13" i="3"/>
  <c r="M13" i="3" s="1"/>
  <c r="L12" i="3"/>
  <c r="K12" i="3"/>
  <c r="M12" i="3" s="1"/>
  <c r="M11" i="3"/>
  <c r="L11" i="3"/>
  <c r="K11" i="3"/>
  <c r="L10" i="3"/>
  <c r="K10" i="3"/>
  <c r="M10" i="3" s="1"/>
  <c r="L9" i="3"/>
  <c r="K9" i="3"/>
  <c r="M9" i="3" s="1"/>
  <c r="L8" i="3"/>
  <c r="K8" i="3"/>
  <c r="M8" i="3" s="1"/>
  <c r="M7" i="3"/>
  <c r="L7" i="3"/>
  <c r="K7" i="3"/>
  <c r="L6" i="3"/>
  <c r="K6" i="3"/>
  <c r="M6" i="3" s="1"/>
  <c r="L82" i="2"/>
  <c r="K82" i="2"/>
  <c r="M82" i="2" s="1"/>
  <c r="L81" i="2"/>
  <c r="K81" i="2"/>
  <c r="M81" i="2" s="1"/>
  <c r="M80" i="2"/>
  <c r="L80" i="2"/>
  <c r="K80" i="2"/>
  <c r="L79" i="2"/>
  <c r="K79" i="2"/>
  <c r="M79" i="2" s="1"/>
  <c r="L78" i="2"/>
  <c r="K78" i="2"/>
  <c r="M78" i="2" s="1"/>
  <c r="L77" i="2"/>
  <c r="K77" i="2"/>
  <c r="M77" i="2" s="1"/>
  <c r="M76" i="2"/>
  <c r="L76" i="2"/>
  <c r="K76" i="2"/>
  <c r="L75" i="2"/>
  <c r="K75" i="2"/>
  <c r="M75" i="2" s="1"/>
  <c r="L74" i="2"/>
  <c r="K74" i="2"/>
  <c r="M74" i="2" s="1"/>
  <c r="L73" i="2"/>
  <c r="K73" i="2"/>
  <c r="M73" i="2" s="1"/>
  <c r="M72" i="2"/>
  <c r="L72" i="2"/>
  <c r="K72" i="2"/>
  <c r="L71" i="2"/>
  <c r="K71" i="2"/>
  <c r="M71" i="2" s="1"/>
  <c r="L70" i="2"/>
  <c r="K70" i="2"/>
  <c r="M70" i="2" s="1"/>
  <c r="L69" i="2"/>
  <c r="K69" i="2"/>
  <c r="M69" i="2" s="1"/>
  <c r="M68" i="2"/>
  <c r="L68" i="2"/>
  <c r="K68" i="2"/>
  <c r="L67" i="2"/>
  <c r="K67" i="2"/>
  <c r="M67" i="2" s="1"/>
  <c r="L66" i="2"/>
  <c r="K66" i="2"/>
  <c r="M66" i="2" s="1"/>
  <c r="L65" i="2"/>
  <c r="K65" i="2"/>
  <c r="M65" i="2" s="1"/>
  <c r="M64" i="2"/>
  <c r="L64" i="2"/>
  <c r="K64" i="2"/>
  <c r="L63" i="2"/>
  <c r="K63" i="2"/>
  <c r="M63" i="2" s="1"/>
  <c r="L62" i="2"/>
  <c r="K62" i="2"/>
  <c r="M62" i="2" s="1"/>
  <c r="L61" i="2"/>
  <c r="K61" i="2"/>
  <c r="M61" i="2" s="1"/>
  <c r="M60" i="2"/>
  <c r="L60" i="2"/>
  <c r="K60" i="2"/>
  <c r="L59" i="2"/>
  <c r="K59" i="2"/>
  <c r="M59" i="2" s="1"/>
  <c r="L58" i="2"/>
  <c r="K58" i="2"/>
  <c r="M58" i="2" s="1"/>
  <c r="L57" i="2"/>
  <c r="K57" i="2"/>
  <c r="M57" i="2" s="1"/>
  <c r="M56" i="2"/>
  <c r="L56" i="2"/>
  <c r="K56" i="2"/>
  <c r="L55" i="2"/>
  <c r="K55" i="2"/>
  <c r="M55" i="2" s="1"/>
  <c r="L54" i="2"/>
  <c r="K54" i="2"/>
  <c r="M54" i="2" s="1"/>
  <c r="L53" i="2"/>
  <c r="K53" i="2"/>
  <c r="M53" i="2" s="1"/>
  <c r="M52" i="2"/>
  <c r="L52" i="2"/>
  <c r="K52" i="2"/>
  <c r="L51" i="2"/>
  <c r="K51" i="2"/>
  <c r="M51" i="2" s="1"/>
  <c r="L50" i="2"/>
  <c r="K50" i="2"/>
  <c r="M50" i="2" s="1"/>
  <c r="L49" i="2"/>
  <c r="K49" i="2"/>
  <c r="M49" i="2" s="1"/>
  <c r="M48" i="2"/>
  <c r="L48" i="2"/>
  <c r="K48" i="2"/>
  <c r="L47" i="2"/>
  <c r="K47" i="2"/>
  <c r="M47" i="2" s="1"/>
  <c r="L46" i="2"/>
  <c r="K46" i="2"/>
  <c r="M46" i="2" s="1"/>
  <c r="L45" i="2"/>
  <c r="K45" i="2"/>
  <c r="M45" i="2" s="1"/>
  <c r="M44" i="2"/>
  <c r="L44" i="2"/>
  <c r="K44" i="2"/>
  <c r="L43" i="2"/>
  <c r="K43" i="2"/>
  <c r="M43" i="2" s="1"/>
  <c r="L42" i="2"/>
  <c r="K42" i="2"/>
  <c r="M42" i="2" s="1"/>
  <c r="L41" i="2"/>
  <c r="K41" i="2"/>
  <c r="M41" i="2" s="1"/>
  <c r="M40" i="2"/>
  <c r="L40" i="2"/>
  <c r="K40" i="2"/>
  <c r="L39" i="2"/>
  <c r="K39" i="2"/>
  <c r="M39" i="2" s="1"/>
  <c r="L38" i="2"/>
  <c r="K38" i="2"/>
  <c r="M38" i="2" s="1"/>
  <c r="L37" i="2"/>
  <c r="K37" i="2"/>
  <c r="M37" i="2" s="1"/>
  <c r="M36" i="2"/>
  <c r="L36" i="2"/>
  <c r="K36" i="2"/>
  <c r="L35" i="2"/>
  <c r="K35" i="2"/>
  <c r="M35" i="2" s="1"/>
  <c r="L34" i="2"/>
  <c r="K34" i="2"/>
  <c r="M34" i="2" s="1"/>
  <c r="L33" i="2"/>
  <c r="K33" i="2"/>
  <c r="M33" i="2" s="1"/>
  <c r="M32" i="2"/>
  <c r="L32" i="2"/>
  <c r="K32" i="2"/>
  <c r="L31" i="2"/>
  <c r="K31" i="2"/>
  <c r="M31" i="2" s="1"/>
  <c r="L30" i="2"/>
  <c r="K30" i="2"/>
  <c r="M30" i="2" s="1"/>
  <c r="L29" i="2"/>
  <c r="K29" i="2"/>
  <c r="M29" i="2" s="1"/>
  <c r="M28" i="2"/>
  <c r="L28" i="2"/>
  <c r="K28" i="2"/>
  <c r="L27" i="2"/>
  <c r="K27" i="2"/>
  <c r="M27" i="2" s="1"/>
  <c r="L26" i="2"/>
  <c r="K26" i="2"/>
  <c r="M26" i="2" s="1"/>
  <c r="L25" i="2"/>
  <c r="K25" i="2"/>
  <c r="M25" i="2" s="1"/>
  <c r="M24" i="2"/>
  <c r="L24" i="2"/>
  <c r="K24" i="2"/>
  <c r="L23" i="2"/>
  <c r="K23" i="2"/>
  <c r="M23" i="2" s="1"/>
  <c r="L22" i="2"/>
  <c r="K22" i="2"/>
  <c r="M22" i="2" s="1"/>
  <c r="L21" i="2"/>
  <c r="K21" i="2"/>
  <c r="M21" i="2" s="1"/>
  <c r="M20" i="2"/>
  <c r="L20" i="2"/>
  <c r="K20" i="2"/>
  <c r="L19" i="2"/>
  <c r="K19" i="2"/>
  <c r="M19" i="2" s="1"/>
  <c r="L18" i="2"/>
  <c r="K18" i="2"/>
  <c r="M18" i="2" s="1"/>
  <c r="L17" i="2"/>
  <c r="K17" i="2"/>
  <c r="M17" i="2" s="1"/>
  <c r="M16" i="2"/>
  <c r="L16" i="2"/>
  <c r="K16" i="2"/>
  <c r="L15" i="2"/>
  <c r="K15" i="2"/>
  <c r="M15" i="2" s="1"/>
  <c r="L14" i="2"/>
  <c r="K14" i="2"/>
  <c r="M14" i="2" s="1"/>
  <c r="L13" i="2"/>
  <c r="K13" i="2"/>
  <c r="M13" i="2" s="1"/>
  <c r="M12" i="2"/>
  <c r="L12" i="2"/>
  <c r="K12" i="2"/>
  <c r="L11" i="2"/>
  <c r="K11" i="2"/>
  <c r="M11" i="2" s="1"/>
  <c r="L10" i="2"/>
  <c r="K10" i="2"/>
  <c r="M10" i="2" s="1"/>
  <c r="L9" i="2"/>
  <c r="K9" i="2"/>
  <c r="M9" i="2" s="1"/>
  <c r="M8" i="2"/>
  <c r="L8" i="2"/>
  <c r="K8" i="2"/>
  <c r="L7" i="2"/>
  <c r="K7" i="2"/>
  <c r="M7" i="2" s="1"/>
  <c r="L6" i="2"/>
  <c r="K6" i="2"/>
  <c r="M6" i="2" s="1"/>
  <c r="N89" i="1"/>
  <c r="M89" i="1"/>
  <c r="O89" i="1" s="1"/>
  <c r="O88" i="1"/>
  <c r="N88" i="1"/>
  <c r="M88" i="1"/>
  <c r="N87" i="1"/>
  <c r="M87" i="1"/>
  <c r="O87" i="1" s="1"/>
  <c r="N86" i="1"/>
  <c r="M86" i="1"/>
  <c r="O86" i="1" s="1"/>
  <c r="N85" i="1"/>
  <c r="M85" i="1"/>
  <c r="O85" i="1" s="1"/>
  <c r="O84" i="1"/>
  <c r="N84" i="1"/>
  <c r="M84" i="1"/>
  <c r="N83" i="1"/>
  <c r="M83" i="1"/>
  <c r="O83" i="1" s="1"/>
  <c r="N82" i="1"/>
  <c r="M82" i="1"/>
  <c r="O82" i="1" s="1"/>
  <c r="N81" i="1"/>
  <c r="M81" i="1"/>
  <c r="O81" i="1" s="1"/>
  <c r="O80" i="1"/>
  <c r="N80" i="1"/>
  <c r="M80" i="1"/>
  <c r="N79" i="1"/>
  <c r="M79" i="1"/>
  <c r="O79" i="1" s="1"/>
  <c r="N78" i="1"/>
  <c r="M78" i="1"/>
  <c r="O78" i="1" s="1"/>
  <c r="N77" i="1"/>
  <c r="M77" i="1"/>
  <c r="O77" i="1" s="1"/>
  <c r="O76" i="1"/>
  <c r="N76" i="1"/>
  <c r="M76" i="1"/>
  <c r="N75" i="1"/>
  <c r="M75" i="1"/>
  <c r="O75" i="1" s="1"/>
  <c r="N74" i="1"/>
  <c r="M74" i="1"/>
  <c r="O74" i="1" s="1"/>
  <c r="N73" i="1"/>
  <c r="M73" i="1"/>
  <c r="O73" i="1" s="1"/>
  <c r="O72" i="1"/>
  <c r="N72" i="1"/>
  <c r="M72" i="1"/>
  <c r="N71" i="1"/>
  <c r="M71" i="1"/>
  <c r="O71" i="1" s="1"/>
  <c r="N70" i="1"/>
  <c r="M70" i="1"/>
  <c r="O70" i="1" s="1"/>
  <c r="N69" i="1"/>
  <c r="M69" i="1"/>
  <c r="O69" i="1" s="1"/>
  <c r="O68" i="1"/>
  <c r="N68" i="1"/>
  <c r="M68" i="1"/>
  <c r="N67" i="1"/>
  <c r="M67" i="1"/>
  <c r="O67" i="1" s="1"/>
  <c r="N66" i="1"/>
  <c r="M66" i="1"/>
  <c r="O66" i="1" s="1"/>
  <c r="N65" i="1"/>
  <c r="M65" i="1"/>
  <c r="O65" i="1" s="1"/>
  <c r="O64" i="1"/>
  <c r="N64" i="1"/>
  <c r="M64" i="1"/>
  <c r="N63" i="1"/>
  <c r="M63" i="1"/>
  <c r="O63" i="1" s="1"/>
  <c r="N62" i="1"/>
  <c r="M62" i="1"/>
  <c r="O62" i="1" s="1"/>
  <c r="N61" i="1"/>
  <c r="M61" i="1"/>
  <c r="O61" i="1" s="1"/>
  <c r="O60" i="1"/>
  <c r="N60" i="1"/>
  <c r="M60" i="1"/>
  <c r="N59" i="1"/>
  <c r="M59" i="1"/>
  <c r="O59" i="1" s="1"/>
  <c r="N58" i="1"/>
  <c r="M58" i="1"/>
  <c r="O58" i="1" s="1"/>
  <c r="N57" i="1"/>
  <c r="M57" i="1"/>
  <c r="O57" i="1" s="1"/>
  <c r="O56" i="1"/>
  <c r="N56" i="1"/>
  <c r="M56" i="1"/>
  <c r="N55" i="1"/>
  <c r="M55" i="1"/>
  <c r="O55" i="1" s="1"/>
  <c r="N54" i="1"/>
  <c r="M54" i="1"/>
  <c r="O54" i="1" s="1"/>
  <c r="N53" i="1"/>
  <c r="M53" i="1"/>
  <c r="O53" i="1" s="1"/>
  <c r="O52" i="1"/>
  <c r="N52" i="1"/>
  <c r="M52" i="1"/>
  <c r="N51" i="1"/>
  <c r="M51" i="1"/>
  <c r="O51" i="1" s="1"/>
  <c r="N50" i="1"/>
  <c r="M50" i="1"/>
  <c r="O50" i="1" s="1"/>
  <c r="N49" i="1"/>
  <c r="M49" i="1"/>
  <c r="O49" i="1" s="1"/>
  <c r="O48" i="1"/>
  <c r="N48" i="1"/>
  <c r="M48" i="1"/>
  <c r="N47" i="1"/>
  <c r="M47" i="1"/>
  <c r="O47" i="1" s="1"/>
  <c r="N46" i="1"/>
  <c r="M46" i="1"/>
  <c r="O46" i="1" s="1"/>
  <c r="N45" i="1"/>
  <c r="M45" i="1"/>
  <c r="O45" i="1" s="1"/>
  <c r="O44" i="1"/>
  <c r="N44" i="1"/>
  <c r="M44" i="1"/>
  <c r="N43" i="1"/>
  <c r="M43" i="1"/>
  <c r="O43" i="1" s="1"/>
  <c r="N42" i="1"/>
  <c r="M42" i="1"/>
  <c r="O42" i="1" s="1"/>
  <c r="N41" i="1"/>
  <c r="M41" i="1"/>
  <c r="O41" i="1" s="1"/>
  <c r="O40" i="1"/>
  <c r="N40" i="1"/>
  <c r="M40" i="1"/>
  <c r="N39" i="1"/>
  <c r="M39" i="1"/>
  <c r="O39" i="1" s="1"/>
  <c r="N38" i="1"/>
  <c r="M38" i="1"/>
  <c r="O38" i="1" s="1"/>
  <c r="N37" i="1"/>
  <c r="M37" i="1"/>
  <c r="O37" i="1" s="1"/>
  <c r="O36" i="1"/>
  <c r="N36" i="1"/>
  <c r="M36" i="1"/>
  <c r="N35" i="1"/>
  <c r="M35" i="1"/>
  <c r="O35" i="1" s="1"/>
  <c r="N34" i="1"/>
  <c r="M34" i="1"/>
  <c r="O34" i="1" s="1"/>
  <c r="N33" i="1"/>
  <c r="M33" i="1"/>
  <c r="O33" i="1" s="1"/>
  <c r="O32" i="1"/>
  <c r="N32" i="1"/>
  <c r="M32" i="1"/>
  <c r="N31" i="1"/>
  <c r="M31" i="1"/>
  <c r="O31" i="1" s="1"/>
  <c r="N30" i="1"/>
  <c r="M30" i="1"/>
  <c r="O30" i="1" s="1"/>
  <c r="N29" i="1"/>
  <c r="M29" i="1"/>
  <c r="O29" i="1" s="1"/>
  <c r="O28" i="1"/>
  <c r="N28" i="1"/>
  <c r="M28" i="1"/>
  <c r="N27" i="1"/>
  <c r="M27" i="1"/>
  <c r="O27" i="1" s="1"/>
  <c r="N26" i="1"/>
  <c r="M26" i="1"/>
  <c r="O26" i="1" s="1"/>
  <c r="N25" i="1"/>
  <c r="M25" i="1"/>
  <c r="O25" i="1" s="1"/>
  <c r="O24" i="1"/>
  <c r="N24" i="1"/>
  <c r="M24" i="1"/>
  <c r="N23" i="1"/>
  <c r="M23" i="1"/>
  <c r="O23" i="1" s="1"/>
  <c r="N22" i="1"/>
  <c r="M22" i="1"/>
  <c r="O22" i="1" s="1"/>
  <c r="N21" i="1"/>
  <c r="M21" i="1"/>
  <c r="O21" i="1" s="1"/>
  <c r="O20" i="1"/>
  <c r="N20" i="1"/>
  <c r="M20" i="1"/>
  <c r="N19" i="1"/>
  <c r="M19" i="1"/>
  <c r="O19" i="1" s="1"/>
  <c r="N18" i="1"/>
  <c r="M18" i="1"/>
  <c r="O18" i="1" s="1"/>
  <c r="N17" i="1"/>
  <c r="M17" i="1"/>
  <c r="O17" i="1" s="1"/>
  <c r="O16" i="1"/>
  <c r="N16" i="1"/>
  <c r="M16" i="1"/>
  <c r="N15" i="1"/>
  <c r="M15" i="1"/>
  <c r="O15" i="1" s="1"/>
  <c r="N14" i="1"/>
  <c r="M14" i="1"/>
  <c r="O14" i="1" s="1"/>
  <c r="N13" i="1"/>
  <c r="M13" i="1"/>
  <c r="O13" i="1" s="1"/>
  <c r="O12" i="1"/>
  <c r="N12" i="1"/>
  <c r="M12" i="1"/>
  <c r="N11" i="1"/>
  <c r="M11" i="1"/>
  <c r="O11" i="1" s="1"/>
  <c r="N10" i="1"/>
  <c r="M10" i="1"/>
  <c r="O10" i="1" s="1"/>
  <c r="N9" i="1"/>
  <c r="M9" i="1"/>
  <c r="O9" i="1" s="1"/>
  <c r="O8" i="1"/>
  <c r="N8" i="1"/>
  <c r="M8" i="1"/>
</calcChain>
</file>

<file path=xl/sharedStrings.xml><?xml version="1.0" encoding="utf-8"?>
<sst xmlns="http://schemas.openxmlformats.org/spreadsheetml/2006/main" count="2003" uniqueCount="486">
  <si>
    <t>American Samoa IIS City GIS and Demographic Crosswalk</t>
  </si>
  <si>
    <t>2020 Census population, population under age 5, land area, density, and point coordinates linked to the uploaded IIS city labels.</t>
  </si>
  <si>
    <t>Do not sum the population fields on this tab: parent-village statistics repeat for localities and combined IIS labels. Use Official Villages or Counties for aggregation.</t>
  </si>
  <si>
    <t>IIS city labels</t>
  </si>
  <si>
    <t>Source rows</t>
  </si>
  <si>
    <t>Rows with city</t>
  </si>
  <si>
    <t>2020 population</t>
  </si>
  <si>
    <t>Under age 5</t>
  </si>
  <si>
    <t>IIS City</t>
  </si>
  <si>
    <t>IIS Record Count</t>
  </si>
  <si>
    <t>Census Geography</t>
  </si>
  <si>
    <t>Geography Type</t>
  </si>
  <si>
    <t>Island / Atoll</t>
  </si>
  <si>
    <t>District</t>
  </si>
  <si>
    <t>County</t>
  </si>
  <si>
    <t>Latitude</t>
  </si>
  <si>
    <t>Longitude</t>
  </si>
  <si>
    <t>2020 Population</t>
  </si>
  <si>
    <t>2020 Population Under Age 5</t>
  </si>
  <si>
    <t>Land Area (m²)</t>
  </si>
  <si>
    <t>Land Area (sq mi)</t>
  </si>
  <si>
    <t>Land Area (sq km)</t>
  </si>
  <si>
    <t>Population Density (per sq mi)</t>
  </si>
  <si>
    <t>Coordinate Basis</t>
  </si>
  <si>
    <t>Metric Basis</t>
  </si>
  <si>
    <t>Census Place FIPS</t>
  </si>
  <si>
    <t>QA Status</t>
  </si>
  <si>
    <t>Statistics Source ID</t>
  </si>
  <si>
    <t>Coordinate Source ID</t>
  </si>
  <si>
    <t>County Source ID</t>
  </si>
  <si>
    <t>Notes</t>
  </si>
  <si>
    <t>AASU FOU</t>
  </si>
  <si>
    <t>Aasu</t>
  </si>
  <si>
    <t>Sub-village / locality</t>
  </si>
  <si>
    <t>Tutuila Island</t>
  </si>
  <si>
    <t>Western District</t>
  </si>
  <si>
    <t>Leasina</t>
  </si>
  <si>
    <t>ArcGIS locality point</t>
  </si>
  <si>
    <t>2020 Census Aasu village</t>
  </si>
  <si>
    <t>00100</t>
  </si>
  <si>
    <t>Parent / combined geography</t>
  </si>
  <si>
    <t>CENSUS_DP</t>
  </si>
  <si>
    <t>ESRI_WG</t>
  </si>
  <si>
    <t>CENSUS_TIGER; AS_CODE</t>
  </si>
  <si>
    <t>Statistics use the parent Census village of Aasu.</t>
  </si>
  <si>
    <t>AASU TUAI</t>
  </si>
  <si>
    <t>AFAO</t>
  </si>
  <si>
    <t>Afao</t>
  </si>
  <si>
    <t>Official Census village</t>
  </si>
  <si>
    <t>Lealataua</t>
  </si>
  <si>
    <t>2020 Census internal point</t>
  </si>
  <si>
    <t>2020 Census Afao village</t>
  </si>
  <si>
    <t>02500</t>
  </si>
  <si>
    <t>Matched</t>
  </si>
  <si>
    <t>IIS label matched directly to the 2020 Census village.</t>
  </si>
  <si>
    <t>AFONO</t>
  </si>
  <si>
    <t>Afono</t>
  </si>
  <si>
    <t>Eastern District</t>
  </si>
  <si>
    <t>Sua</t>
  </si>
  <si>
    <t>2020 Census Afono village</t>
  </si>
  <si>
    <t>03300</t>
  </si>
  <si>
    <t>ALAO</t>
  </si>
  <si>
    <t>Alao</t>
  </si>
  <si>
    <t>Vaifanua</t>
  </si>
  <si>
    <t>2020 Census Alao village</t>
  </si>
  <si>
    <t>04900</t>
  </si>
  <si>
    <t>ALEGA</t>
  </si>
  <si>
    <t>Alega</t>
  </si>
  <si>
    <t>2020 Census Alega village</t>
  </si>
  <si>
    <t>06500</t>
  </si>
  <si>
    <t>ALOFAU</t>
  </si>
  <si>
    <t>Alofau</t>
  </si>
  <si>
    <t>Sa'ole</t>
  </si>
  <si>
    <t>2020 Census Alofau village</t>
  </si>
  <si>
    <t>07300</t>
  </si>
  <si>
    <t>AMALUIA</t>
  </si>
  <si>
    <t>Amaluia</t>
  </si>
  <si>
    <t>2020 Census Amaluia village</t>
  </si>
  <si>
    <t>08100</t>
  </si>
  <si>
    <t>AMANAVE</t>
  </si>
  <si>
    <t>Amanave</t>
  </si>
  <si>
    <t>2020 Census Amanave village</t>
  </si>
  <si>
    <t>08900</t>
  </si>
  <si>
    <t>AMAUA</t>
  </si>
  <si>
    <t>Amaua</t>
  </si>
  <si>
    <t>2020 Census Amaua village</t>
  </si>
  <si>
    <t>09700</t>
  </si>
  <si>
    <t>AMOULI</t>
  </si>
  <si>
    <t>Amouli</t>
  </si>
  <si>
    <t>2020 Census Amouli village</t>
  </si>
  <si>
    <t>10500</t>
  </si>
  <si>
    <t>AOA</t>
  </si>
  <si>
    <t>Aoa</t>
  </si>
  <si>
    <t>2020 Census Aoa village</t>
  </si>
  <si>
    <t>12100</t>
  </si>
  <si>
    <t>AOLOAU FOU</t>
  </si>
  <si>
    <t>Aoloau</t>
  </si>
  <si>
    <t>2020 Census Aoloau village</t>
  </si>
  <si>
    <t>12800</t>
  </si>
  <si>
    <t>IIS spelling standardized to Census village Aoloau.</t>
  </si>
  <si>
    <t>ASILI</t>
  </si>
  <si>
    <t>Asili</t>
  </si>
  <si>
    <t>2020 Census Asili village</t>
  </si>
  <si>
    <t>13700</t>
  </si>
  <si>
    <t>ATU’U</t>
  </si>
  <si>
    <t>Atu'u</t>
  </si>
  <si>
    <t>Ma'oputasi</t>
  </si>
  <si>
    <t>2020 Census Atu'u village</t>
  </si>
  <si>
    <t>14500</t>
  </si>
  <si>
    <t>AUA</t>
  </si>
  <si>
    <t>Aua</t>
  </si>
  <si>
    <t>2020 Census Aua village</t>
  </si>
  <si>
    <t>15300</t>
  </si>
  <si>
    <t>AUASI</t>
  </si>
  <si>
    <t>Auasi</t>
  </si>
  <si>
    <t>2020 Census Auasi village</t>
  </si>
  <si>
    <t>16100</t>
  </si>
  <si>
    <t>AUMA</t>
  </si>
  <si>
    <t>Auma</t>
  </si>
  <si>
    <t>2020 Census Auma village</t>
  </si>
  <si>
    <t>16900</t>
  </si>
  <si>
    <t>AUNUU</t>
  </si>
  <si>
    <t>Aunu'u</t>
  </si>
  <si>
    <t>Aunu'u Island</t>
  </si>
  <si>
    <t>2020 Census Aunu'u village</t>
  </si>
  <si>
    <t>18500</t>
  </si>
  <si>
    <t>AUTO</t>
  </si>
  <si>
    <t>Auto</t>
  </si>
  <si>
    <t>2020 Census Auto village</t>
  </si>
  <si>
    <t>20100</t>
  </si>
  <si>
    <t>AVAIO</t>
  </si>
  <si>
    <t>Avaio</t>
  </si>
  <si>
    <t>2020 Census Avaio village</t>
  </si>
  <si>
    <t>20900</t>
  </si>
  <si>
    <t>AVAU</t>
  </si>
  <si>
    <t>Nu'uuli</t>
  </si>
  <si>
    <t>Eastern District; Western District</t>
  </si>
  <si>
    <t>Ituau; Tualauta</t>
  </si>
  <si>
    <t>2020 Census Nu'uuli village</t>
  </si>
  <si>
    <t>57700</t>
  </si>
  <si>
    <t>Statistics use the parent Census village of Nu'uuli.</t>
  </si>
  <si>
    <t>FAGAALU</t>
  </si>
  <si>
    <t>Faga'alu</t>
  </si>
  <si>
    <t>2020 Census Faga'alu village</t>
  </si>
  <si>
    <t>22500</t>
  </si>
  <si>
    <t>FAGAIMA</t>
  </si>
  <si>
    <t>Tafuna</t>
  </si>
  <si>
    <t>2020 Census Tafuna village</t>
  </si>
  <si>
    <t>75300</t>
  </si>
  <si>
    <t>Statistics use the parent Census village of Tafuna.</t>
  </si>
  <si>
    <t>FAGAITUA</t>
  </si>
  <si>
    <t>Faga'itua</t>
  </si>
  <si>
    <t>2020 Census Faga'itua village</t>
  </si>
  <si>
    <t>23300</t>
  </si>
  <si>
    <t>FAGALI’I</t>
  </si>
  <si>
    <t>Fagali'i</t>
  </si>
  <si>
    <t>2020 Census Fagali'i village</t>
  </si>
  <si>
    <t>24900</t>
  </si>
  <si>
    <t>FAGAMALO</t>
  </si>
  <si>
    <t>Fagamalo</t>
  </si>
  <si>
    <t>2020 Census Fagamalo village</t>
  </si>
  <si>
    <t>25700</t>
  </si>
  <si>
    <t>FAGANEANEA</t>
  </si>
  <si>
    <t>Faganeanea</t>
  </si>
  <si>
    <t>Ituau</t>
  </si>
  <si>
    <t>2020 Census Faganeanea village</t>
  </si>
  <si>
    <t>26500</t>
  </si>
  <si>
    <t>FAGASA</t>
  </si>
  <si>
    <t>Fagasa</t>
  </si>
  <si>
    <t>2020 Census Fagasa village</t>
  </si>
  <si>
    <t>27300</t>
  </si>
  <si>
    <t>FAGATOGO</t>
  </si>
  <si>
    <t>Fagatogo</t>
  </si>
  <si>
    <t>2020 Census Fagatogo village</t>
  </si>
  <si>
    <t>28900</t>
  </si>
  <si>
    <t>FAILOLO</t>
  </si>
  <si>
    <t>Failolo</t>
  </si>
  <si>
    <t>2020 Census Failolo village</t>
  </si>
  <si>
    <t>29700</t>
  </si>
  <si>
    <t>FALEASAO</t>
  </si>
  <si>
    <t>Faleasao</t>
  </si>
  <si>
    <t>Ta'u Island</t>
  </si>
  <si>
    <t>Manu'a District</t>
  </si>
  <si>
    <t>2020 Census Faleasao village</t>
  </si>
  <si>
    <t>30500</t>
  </si>
  <si>
    <t>FALENIU</t>
  </si>
  <si>
    <t>Faleniu</t>
  </si>
  <si>
    <t>Tualauta</t>
  </si>
  <si>
    <t>2020 Census Faleniu village</t>
  </si>
  <si>
    <t>32100</t>
  </si>
  <si>
    <t>FATU MA FUTI</t>
  </si>
  <si>
    <t>Fatumafuti</t>
  </si>
  <si>
    <t>2020 Census Fatumafuti village</t>
  </si>
  <si>
    <t>32900</t>
  </si>
  <si>
    <t>IIS label standardized to Census village Fatumafuti.</t>
  </si>
  <si>
    <t>FITIUTA</t>
  </si>
  <si>
    <t>Leusoali'i + Maia</t>
  </si>
  <si>
    <t>Combined Census villages</t>
  </si>
  <si>
    <t>Fitiuta</t>
  </si>
  <si>
    <t>Sum of listed 2020 Census villages</t>
  </si>
  <si>
    <t>45700; 47300</t>
  </si>
  <si>
    <t>Population and area sum Leusoali'i and Maia, the two Census villages in Fitiuta County.</t>
  </si>
  <si>
    <t>FOGAGOGO</t>
  </si>
  <si>
    <t>Ili'ili</t>
  </si>
  <si>
    <t>2020 Census Ili'ili village</t>
  </si>
  <si>
    <t>36900</t>
  </si>
  <si>
    <t>Statistics use the parent Census village of Ili'ili.</t>
  </si>
  <si>
    <t>FUTIGA</t>
  </si>
  <si>
    <t>Futiga</t>
  </si>
  <si>
    <t>Tualatai</t>
  </si>
  <si>
    <t>2020 Census Futiga village</t>
  </si>
  <si>
    <t>36100</t>
  </si>
  <si>
    <t>GATAIVAI</t>
  </si>
  <si>
    <t>Utulei</t>
  </si>
  <si>
    <t>EPA monitoring-site point</t>
  </si>
  <si>
    <t>2020 Census Utulei village</t>
  </si>
  <si>
    <t>82500</t>
  </si>
  <si>
    <t>EPA_WQP</t>
  </si>
  <si>
    <t>Statistics use the parent Census village of Utulei.</t>
  </si>
  <si>
    <t>ILI’ILI &amp; ASUEMU</t>
  </si>
  <si>
    <t>Combined IIS label</t>
  </si>
  <si>
    <t>Statistics use Census village Ili'ili; no separate Census estimate is available for Asuemu.</t>
  </si>
  <si>
    <t>KOKOLAND</t>
  </si>
  <si>
    <t>Parent-village internal point</t>
  </si>
  <si>
    <t>Statistics and coordinates use the parent Census village of Tafuna.</t>
  </si>
  <si>
    <t>LAULII FOU</t>
  </si>
  <si>
    <t>Lauli'i</t>
  </si>
  <si>
    <t>2020 Census Lauli'i village</t>
  </si>
  <si>
    <t>40800</t>
  </si>
  <si>
    <t>Statistics use the parent Census village of Lauli'i.</t>
  </si>
  <si>
    <t>LAULII TUAI</t>
  </si>
  <si>
    <t>LELOALOA</t>
  </si>
  <si>
    <t>Leloaloa</t>
  </si>
  <si>
    <t>2020 Census Leloaloa village</t>
  </si>
  <si>
    <t>44100</t>
  </si>
  <si>
    <t>LEONE</t>
  </si>
  <si>
    <t>Leone</t>
  </si>
  <si>
    <t>2020 Census Leone village</t>
  </si>
  <si>
    <t>44900</t>
  </si>
  <si>
    <t>LEPUA</t>
  </si>
  <si>
    <t>Statistics and coordinates use Leloaloa, the Census parent geography. Review locally if a neighborhood-level point is required.</t>
  </si>
  <si>
    <t>MALAEIMI</t>
  </si>
  <si>
    <t>Malaeimi</t>
  </si>
  <si>
    <t>2020 Census Malaeimi village</t>
  </si>
  <si>
    <t>48100</t>
  </si>
  <si>
    <t>MALAELOA</t>
  </si>
  <si>
    <t>Malaeloa/Aitulagi + Malaeloa/Ituau</t>
  </si>
  <si>
    <t>Leasina; Tualatai</t>
  </si>
  <si>
    <t>48920; 49400</t>
  </si>
  <si>
    <t>Population and area sum the two Census Malaeloa villages.</t>
  </si>
  <si>
    <t>MALOTA</t>
  </si>
  <si>
    <t>Maloata</t>
  </si>
  <si>
    <t>2020 Census Maloata village</t>
  </si>
  <si>
    <t>50500</t>
  </si>
  <si>
    <t>IIS spelling standardized to Census village Maloata.</t>
  </si>
  <si>
    <t>MAPUSAGA &amp; MAPUSAGAFOU</t>
  </si>
  <si>
    <t>Mapusagafou</t>
  </si>
  <si>
    <t>2020 Census Mapusagafou village</t>
  </si>
  <si>
    <t>52900</t>
  </si>
  <si>
    <t>Statistics use Census village Mapusagafou; no separate 2020 Census estimate is available for Mapusaga.</t>
  </si>
  <si>
    <t>MASAUSI</t>
  </si>
  <si>
    <t>Masausi</t>
  </si>
  <si>
    <t>2020 Census Masausi village</t>
  </si>
  <si>
    <t>53700</t>
  </si>
  <si>
    <t>MASEFAU</t>
  </si>
  <si>
    <t>Masefau</t>
  </si>
  <si>
    <t>2020 Census Masefau village</t>
  </si>
  <si>
    <t>54500</t>
  </si>
  <si>
    <t>MATU’U</t>
  </si>
  <si>
    <t>Matu'u</t>
  </si>
  <si>
    <t>2020 Census Matu'u village</t>
  </si>
  <si>
    <t>55300</t>
  </si>
  <si>
    <t>MESEPA</t>
  </si>
  <si>
    <t>Mesepa</t>
  </si>
  <si>
    <t>2020 Census Mesepa village</t>
  </si>
  <si>
    <t>56100</t>
  </si>
  <si>
    <t>NUA</t>
  </si>
  <si>
    <t>Nua</t>
  </si>
  <si>
    <t>2020 Census Nua village</t>
  </si>
  <si>
    <t>56900</t>
  </si>
  <si>
    <t>NUUULI</t>
  </si>
  <si>
    <t>OFU</t>
  </si>
  <si>
    <t>Ofu</t>
  </si>
  <si>
    <t>Ofu Island</t>
  </si>
  <si>
    <t>2020 Census Ofu village</t>
  </si>
  <si>
    <t>58500</t>
  </si>
  <si>
    <t>OLOSEGA</t>
  </si>
  <si>
    <t>Olosega</t>
  </si>
  <si>
    <t>Olosega Island</t>
  </si>
  <si>
    <t>2020 Census Olosega village</t>
  </si>
  <si>
    <t>60100</t>
  </si>
  <si>
    <t>ONENOA</t>
  </si>
  <si>
    <t>Onenoa</t>
  </si>
  <si>
    <t>2020 Census Onenoa village</t>
  </si>
  <si>
    <t>61700</t>
  </si>
  <si>
    <t>ONESOSOPO</t>
  </si>
  <si>
    <t>Statistics and coordinates use the parent Census village of Aua.</t>
  </si>
  <si>
    <t>OTTOVILLE</t>
  </si>
  <si>
    <t>PAGAI</t>
  </si>
  <si>
    <t>Pagai</t>
  </si>
  <si>
    <t>Sa'ole; Sua</t>
  </si>
  <si>
    <t>2020 Census Pagai village</t>
  </si>
  <si>
    <t>62230</t>
  </si>
  <si>
    <t>PAGOPAGO</t>
  </si>
  <si>
    <t>Pago Pago</t>
  </si>
  <si>
    <t>2020 Census Pago Pago village</t>
  </si>
  <si>
    <t>62500</t>
  </si>
  <si>
    <t>PAVAIA’I</t>
  </si>
  <si>
    <t>Pava'ia'i</t>
  </si>
  <si>
    <t>2020 Census Pava'ia'i village</t>
  </si>
  <si>
    <t>64100</t>
  </si>
  <si>
    <t>PETESA</t>
  </si>
  <si>
    <t>POLOA</t>
  </si>
  <si>
    <t>Poloa</t>
  </si>
  <si>
    <t>2020 Census Poloa village</t>
  </si>
  <si>
    <t>64900</t>
  </si>
  <si>
    <t>PUAPUA</t>
  </si>
  <si>
    <t>Puapua</t>
  </si>
  <si>
    <t>2020 Census Puapua village</t>
  </si>
  <si>
    <t>65300</t>
  </si>
  <si>
    <t>SA’ILELE</t>
  </si>
  <si>
    <t>Sa'ilele</t>
  </si>
  <si>
    <t>2020 Census Sa'ilele village</t>
  </si>
  <si>
    <t>66500</t>
  </si>
  <si>
    <t>SATALA</t>
  </si>
  <si>
    <t>Satala</t>
  </si>
  <si>
    <t>2020 Census Satala village</t>
  </si>
  <si>
    <t>68100</t>
  </si>
  <si>
    <t>SE’ETAGA</t>
  </si>
  <si>
    <t>Se'etaga</t>
  </si>
  <si>
    <t>2020 Census Se'etaga village</t>
  </si>
  <si>
    <t>68900</t>
  </si>
  <si>
    <t>TA’U</t>
  </si>
  <si>
    <t>Luma + Si'ufaga</t>
  </si>
  <si>
    <t>Ta'u</t>
  </si>
  <si>
    <t>46500; 71300</t>
  </si>
  <si>
    <t>Population and area sum Luma and Si'ufaga, the two Census villages in Ta'u County.</t>
  </si>
  <si>
    <t>TAFAGAGAI</t>
  </si>
  <si>
    <t>Possible alias / locality</t>
  </si>
  <si>
    <t>ArcGIS match to Tafananai</t>
  </si>
  <si>
    <t>Review locality match</t>
  </si>
  <si>
    <t>Provisional match to Tafananai in Lauli'i. Local validation is recommended.</t>
  </si>
  <si>
    <t>TAFETA</t>
  </si>
  <si>
    <t>Statistics use the parent Census village of Mapusagafou.</t>
  </si>
  <si>
    <t>TAFUNA</t>
  </si>
  <si>
    <t>TAPUTIMU</t>
  </si>
  <si>
    <t>Taputimu</t>
  </si>
  <si>
    <t>2020 Census Taputimu village</t>
  </si>
  <si>
    <t>76900</t>
  </si>
  <si>
    <t>TULA</t>
  </si>
  <si>
    <t>Tula</t>
  </si>
  <si>
    <t>2020 Census Tula village</t>
  </si>
  <si>
    <t>81700</t>
  </si>
  <si>
    <t>UTULEI</t>
  </si>
  <si>
    <t>UTUMEA EAST</t>
  </si>
  <si>
    <t>Utumea East</t>
  </si>
  <si>
    <t>2020 Census Utumea East village</t>
  </si>
  <si>
    <t>83300</t>
  </si>
  <si>
    <t>UTUMEA WEST</t>
  </si>
  <si>
    <t>Utumea West</t>
  </si>
  <si>
    <t>2020 Census Utumea West village</t>
  </si>
  <si>
    <t>84100</t>
  </si>
  <si>
    <t>UTUSI’A</t>
  </si>
  <si>
    <t>Utusia</t>
  </si>
  <si>
    <t>2020 Census Utusia village</t>
  </si>
  <si>
    <t>84900</t>
  </si>
  <si>
    <t>VAILOA</t>
  </si>
  <si>
    <t>Vailoatai</t>
  </si>
  <si>
    <t>2020 Census Vailoatai village</t>
  </si>
  <si>
    <t>87300</t>
  </si>
  <si>
    <t>IIS label standardized to Census village Vailoatai.</t>
  </si>
  <si>
    <t>VAITOGI</t>
  </si>
  <si>
    <t>Vaitogi</t>
  </si>
  <si>
    <t>2020 Census Vaitogi village</t>
  </si>
  <si>
    <t>88100</t>
  </si>
  <si>
    <t>VATIA</t>
  </si>
  <si>
    <t>Vatia</t>
  </si>
  <si>
    <t>2020 Census Vatia village</t>
  </si>
  <si>
    <t>89700</t>
  </si>
  <si>
    <t>Official 2020 Census Villages</t>
  </si>
  <si>
    <t>One row per Census village. This tab is the preferred village-level table for aggregation and mapping.</t>
  </si>
  <si>
    <t>Census villages</t>
  </si>
  <si>
    <t>Census Village</t>
  </si>
  <si>
    <t>Place FIPS</t>
  </si>
  <si>
    <t>Agugulu</t>
  </si>
  <si>
    <t>04500</t>
  </si>
  <si>
    <t>Anua</t>
  </si>
  <si>
    <t>11300</t>
  </si>
  <si>
    <t>Aumi</t>
  </si>
  <si>
    <t>17700</t>
  </si>
  <si>
    <t>Leusoali'i</t>
  </si>
  <si>
    <t>45700</t>
  </si>
  <si>
    <t>Luma</t>
  </si>
  <si>
    <t>46500</t>
  </si>
  <si>
    <t>Maia</t>
  </si>
  <si>
    <t>47300</t>
  </si>
  <si>
    <t>Malaeloa/Aitulagi</t>
  </si>
  <si>
    <t>48920</t>
  </si>
  <si>
    <t>Malaeloa/Ituau</t>
  </si>
  <si>
    <t>49400</t>
  </si>
  <si>
    <t>Si'ufaga</t>
  </si>
  <si>
    <t>71300</t>
  </si>
  <si>
    <t>Sili</t>
  </si>
  <si>
    <t>69700</t>
  </si>
  <si>
    <t>Swains</t>
  </si>
  <si>
    <t>72900</t>
  </si>
  <si>
    <t>Swains Island</t>
  </si>
  <si>
    <t>American Samoa Counties</t>
  </si>
  <si>
    <t>One row per 2020 Census county or island-equivalent geography, with population, under-age-5 population, land area, density, and internal points.</t>
  </si>
  <si>
    <t>Counties</t>
  </si>
  <si>
    <t>County FIPS</t>
  </si>
  <si>
    <t>District FIPS</t>
  </si>
  <si>
    <t>Source ID</t>
  </si>
  <si>
    <t>37700</t>
  </si>
  <si>
    <t>010</t>
  </si>
  <si>
    <t>51300</t>
  </si>
  <si>
    <t>67300</t>
  </si>
  <si>
    <t>72100</t>
  </si>
  <si>
    <t>86500</t>
  </si>
  <si>
    <t>31300</t>
  </si>
  <si>
    <t>020</t>
  </si>
  <si>
    <t>34500</t>
  </si>
  <si>
    <t>59300</t>
  </si>
  <si>
    <t>60900</t>
  </si>
  <si>
    <t>78500</t>
  </si>
  <si>
    <t>Rose Island</t>
  </si>
  <si>
    <t>65700</t>
  </si>
  <si>
    <t>030</t>
  </si>
  <si>
    <t>Rose Atoll</t>
  </si>
  <si>
    <t>73700</t>
  </si>
  <si>
    <t>040</t>
  </si>
  <si>
    <t>42500</t>
  </si>
  <si>
    <t>050</t>
  </si>
  <si>
    <t>43300</t>
  </si>
  <si>
    <t>80100</t>
  </si>
  <si>
    <t>80900</t>
  </si>
  <si>
    <t>Sources and Methods</t>
  </si>
  <si>
    <t>Source IDs in the data tables refer to the records below. URLs are included for reproducibility.</t>
  </si>
  <si>
    <t>Applies To</t>
  </si>
  <si>
    <t>Organization / Product</t>
  </si>
  <si>
    <t>Details</t>
  </si>
  <si>
    <t>URL</t>
  </si>
  <si>
    <t>Population, age, area, Census internal points</t>
  </si>
  <si>
    <t>U.S. Census Bureau, 2020 Island Areas Census: American Samoa</t>
  </si>
  <si>
    <t>Demographic Profile and geography files. DPAS0010001 is total population; DPAS0010002 is population under age 5.</t>
  </si>
  <si>
    <t>https://www.census.gov/data/tables/2020/dec/2020-american-samoa.html</t>
  </si>
  <si>
    <t>CENSUS_TIGER</t>
  </si>
  <si>
    <t>Village and county geography</t>
  </si>
  <si>
    <t>U.S. Census Bureau TIGERweb</t>
  </si>
  <si>
    <t>2020 incorporated-place records and county-subdivision boundaries used to verify names and county relationships.</t>
  </si>
  <si>
    <t>https://tigerweb.geo.census.gov/tigerwebmain/Files/bas26/tigerweb_bas26_incplace_2020_tab20_as.html</t>
  </si>
  <si>
    <t>AS_CODE</t>
  </si>
  <si>
    <t>County and locality crosswalk</t>
  </si>
  <si>
    <t>American Samoa Code Annotated § 5.0102</t>
  </si>
  <si>
    <t>Legal description of county membership, including named settlements and Manu'a village groupings.</t>
  </si>
  <si>
    <t>https://asbar.org/code-annotated/5-0102-division-of-districts-into-counties/</t>
  </si>
  <si>
    <t>Selected locality coordinates</t>
  </si>
  <si>
    <t>Esri World Geocoding Service</t>
  </si>
  <si>
    <t>Point matches for IIS labels that are localities rather than standalone Census villages.</t>
  </si>
  <si>
    <t>https://geocode.arcgis.com/arcgis/rest/services/World/GeocodeServer</t>
  </si>
  <si>
    <t>Gataivai locality coordinate</t>
  </si>
  <si>
    <t>Water Quality Portal</t>
  </si>
  <si>
    <t>Monitoring-site point used to represent the Gataivai locality within Utulei.</t>
  </si>
  <si>
    <t>https://www.waterqualitydata.us/</t>
  </si>
  <si>
    <t>USER_IIS</t>
  </si>
  <si>
    <t>IIS city labels and record counts</t>
  </si>
  <si>
    <t>Uploaded IIS city workbook</t>
  </si>
  <si>
    <t>American Samoa_IIS_Cities.xlsx. Counts reflect nonblank city labels in the uploaded file.</t>
  </si>
  <si>
    <t>Method and interpretation notes</t>
  </si>
  <si>
    <t>Reference date</t>
  </si>
  <si>
    <t>Population measures are from the 2020 Census reference date of April 1, 2020.</t>
  </si>
  <si>
    <t>Counts use the Census Demographic Profile age category “Under 5 years” for the total population.</t>
  </si>
  <si>
    <t>Area and density</t>
  </si>
  <si>
    <t>Land area excludes water. Density is calculated as 2020 population divided by land area in square miles.</t>
  </si>
  <si>
    <t>Coordinates</t>
  </si>
  <si>
    <t>Latitude and longitude are decimal degrees in WGS 84. Census rows use internal points; locality rows use the source named in Coordinate Source ID.</t>
  </si>
  <si>
    <t>Aggregation</t>
  </si>
  <si>
    <t>Use Official Villages for village totals or Counties for county totals. The IIS Crosswalk repeats parent-village statistics for localities and should not be summed.</t>
  </si>
  <si>
    <t>Boundary-spanning villages</t>
  </si>
  <si>
    <t>Nu'uuli and Tafuna intersect Ituau and Tualauta counties; Pagai intersects Sa'ole and Sua. Both counties are listed on village and crosswalk rows.</t>
  </si>
  <si>
    <t>Combined labels</t>
  </si>
  <si>
    <t>Fitiuta sums Leusoali'i and Maia; Ta'u sums Luma and Si'ufaga; Malaeloa sums its Aitulagi and Ituau Census villages.</t>
  </si>
  <si>
    <t>Provisional match</t>
  </si>
  <si>
    <t>TAFAGAGAI is provisionally matched to Tafananai in Lauli'i based on the closest ArcGIS locality match. Confirm locally before operational use.</t>
  </si>
  <si>
    <t>Uploaded file coverage</t>
  </si>
  <si>
    <t>8,114 source rows were reviewed; 6,374 have a nonblank city label and 1,740 do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</si>
</sst>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#,##0.0"/>
  </numFmts>
  <fonts count="12">
    <font>
      <sz val="11"/>
      <name val="Carlito"/>
    </font>
    <font>
      <b/>
      <sz val="18"/>
      <color rgb="FFFFFFFF"/>
      <name val="Aptos"/>
    </font>
    <font>
      <sz val="10"/>
      <color rgb="FF595959"/>
      <name val="Aptos"/>
    </font>
    <font>
      <b/>
      <sz val="10"/>
      <color rgb="FF7F6000"/>
      <name val="Aptos"/>
    </font>
    <font>
      <b/>
      <sz val="9"/>
      <color rgb="FF595959"/>
      <name val="Aptos"/>
    </font>
    <font>
      <b/>
      <sz val="12"/>
      <color rgb="FF17365D"/>
      <name val="Aptos"/>
    </font>
    <font>
      <b/>
      <sz val="9"/>
      <color rgb="FFFFFFFF"/>
      <name val="Aptos"/>
    </font>
    <font>
      <sz val="9"/>
      <color rgb="FF222222"/>
      <name val="Aptos"/>
    </font>
    <font>
      <b/>
      <sz val="11"/>
      <color rgb="FFFFFFFF"/>
      <name val="Aptos"/>
    </font>
    <font>
      <sz val="10"/>
      <color rgb="FF222222"/>
      <name val="Aptos"/>
    </font>
    <font>
      <b/>
      <sz val="10"/>
      <color rgb="FF17365D"/>
      <name val="Aptos"/>
    </font>
    <font>
      <sz val="11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0F6B7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5" borderId="0" xfId="0" applyFont="1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top"/>
    </xf>
    <xf numFmtId="3" fontId="7" fillId="0" borderId="2" xfId="0" applyNumberFormat="1" applyFont="1" applyBorder="1" applyAlignment="1">
      <alignment vertical="top"/>
    </xf>
    <xf numFmtId="164" fontId="7" fillId="0" borderId="2" xfId="0" applyNumberFormat="1" applyFont="1" applyBorder="1" applyAlignment="1">
      <alignment vertical="top"/>
    </xf>
    <xf numFmtId="165" fontId="7" fillId="0" borderId="2" xfId="0" applyNumberFormat="1" applyFont="1" applyBorder="1" applyAlignment="1">
      <alignment vertical="top"/>
    </xf>
    <xf numFmtId="166" fontId="7" fillId="0" borderId="2" xfId="0" applyNumberFormat="1" applyFont="1" applyBorder="1" applyAlignment="1">
      <alignment vertical="top"/>
    </xf>
    <xf numFmtId="49" fontId="7" fillId="0" borderId="2" xfId="0" applyNumberFormat="1" applyFont="1" applyBorder="1" applyAlignment="1">
      <alignment vertical="top"/>
    </xf>
    <xf numFmtId="0" fontId="7" fillId="0" borderId="2" xfId="0" applyFont="1" applyBorder="1" applyAlignment="1">
      <alignment vertical="top" wrapText="1"/>
    </xf>
    <xf numFmtId="49" fontId="7" fillId="0" borderId="2" xfId="0" applyNumberFormat="1" applyFont="1" applyBorder="1" applyAlignment="1">
      <alignment vertical="top" wrapText="1"/>
    </xf>
    <xf numFmtId="0" fontId="10" fillId="5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1" fillId="0" borderId="0" xfId="0" applyFon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8" fillId="7" borderId="0" xfId="0" applyFont="1" applyFill="1" applyAlignment="1">
      <alignment vertical="center"/>
    </xf>
    <xf numFmtId="0" fontId="9" fillId="5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ISCrosswalkTable" displayName="IISCrosswalkTable" ref="A7:W89" totalsRowShown="0">
  <autoFilter ref="A7:W89" xr:uid="{00000000-0009-0000-0100-000001000000}"/>
  <tableColumns count="23">
    <tableColumn id="1" xr3:uid="{00000000-0010-0000-0000-000001000000}" name="IIS City"/>
    <tableColumn id="2" xr3:uid="{00000000-0010-0000-0000-000002000000}" name="IIS Record Count"/>
    <tableColumn id="3" xr3:uid="{00000000-0010-0000-0000-000003000000}" name="Census Geography"/>
    <tableColumn id="4" xr3:uid="{00000000-0010-0000-0000-000004000000}" name="Geography Type"/>
    <tableColumn id="5" xr3:uid="{00000000-0010-0000-0000-000005000000}" name="Island / Atoll"/>
    <tableColumn id="6" xr3:uid="{00000000-0010-0000-0000-000006000000}" name="District"/>
    <tableColumn id="7" xr3:uid="{00000000-0010-0000-0000-000007000000}" name="County"/>
    <tableColumn id="8" xr3:uid="{00000000-0010-0000-0000-000008000000}" name="Latitude"/>
    <tableColumn id="9" xr3:uid="{00000000-0010-0000-0000-000009000000}" name="Longitude"/>
    <tableColumn id="10" xr3:uid="{00000000-0010-0000-0000-00000A000000}" name="2020 Population"/>
    <tableColumn id="11" xr3:uid="{00000000-0010-0000-0000-00000B000000}" name="2020 Population Under Age 5"/>
    <tableColumn id="12" xr3:uid="{00000000-0010-0000-0000-00000C000000}" name="Land Area (m²)"/>
    <tableColumn id="13" xr3:uid="{00000000-0010-0000-0000-00000D000000}" name="Land Area (sq mi)"/>
    <tableColumn id="14" xr3:uid="{00000000-0010-0000-0000-00000E000000}" name="Land Area (sq km)"/>
    <tableColumn id="15" xr3:uid="{00000000-0010-0000-0000-00000F000000}" name="Population Density (per sq mi)"/>
    <tableColumn id="16" xr3:uid="{00000000-0010-0000-0000-000010000000}" name="Coordinate Basis"/>
    <tableColumn id="17" xr3:uid="{00000000-0010-0000-0000-000011000000}" name="Metric Basis"/>
    <tableColumn id="18" xr3:uid="{00000000-0010-0000-0000-000012000000}" name="Census Place FIPS"/>
    <tableColumn id="19" xr3:uid="{00000000-0010-0000-0000-000013000000}" name="QA Status"/>
    <tableColumn id="20" xr3:uid="{00000000-0010-0000-0000-000014000000}" name="Statistics Source ID"/>
    <tableColumn id="21" xr3:uid="{00000000-0010-0000-0000-000015000000}" name="Coordinate Source ID"/>
    <tableColumn id="22" xr3:uid="{00000000-0010-0000-0000-000016000000}" name="County Source ID"/>
    <tableColumn id="23" xr3:uid="{00000000-0010-0000-0000-00001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fficialVillagesTable" displayName="OfficialVillagesTable" ref="A5:P82" totalsRowShown="0">
  <autoFilter ref="A5:P82" xr:uid="{00000000-0009-0000-0100-000002000000}"/>
  <tableColumns count="16">
    <tableColumn id="1" xr3:uid="{00000000-0010-0000-0100-000001000000}" name="Census Village"/>
    <tableColumn id="2" xr3:uid="{00000000-0010-0000-0100-000002000000}" name="Place FIPS"/>
    <tableColumn id="3" xr3:uid="{00000000-0010-0000-0100-000003000000}" name="Island / Atoll"/>
    <tableColumn id="4" xr3:uid="{00000000-0010-0000-0100-000004000000}" name="District"/>
    <tableColumn id="5" xr3:uid="{00000000-0010-0000-0100-000005000000}" name="County"/>
    <tableColumn id="6" xr3:uid="{00000000-0010-0000-0100-000006000000}" name="Latitude"/>
    <tableColumn id="7" xr3:uid="{00000000-0010-0000-0100-000007000000}" name="Longitude"/>
    <tableColumn id="8" xr3:uid="{00000000-0010-0000-0100-000008000000}" name="2020 Population"/>
    <tableColumn id="9" xr3:uid="{00000000-0010-0000-0100-000009000000}" name="2020 Population Under Age 5"/>
    <tableColumn id="10" xr3:uid="{00000000-0010-0000-0100-00000A000000}" name="Land Area (m²)"/>
    <tableColumn id="11" xr3:uid="{00000000-0010-0000-0100-00000B000000}" name="Land Area (sq mi)"/>
    <tableColumn id="12" xr3:uid="{00000000-0010-0000-0100-00000C000000}" name="Land Area (sq km)"/>
    <tableColumn id="13" xr3:uid="{00000000-0010-0000-0100-00000D000000}" name="Population Density (per sq mi)"/>
    <tableColumn id="14" xr3:uid="{00000000-0010-0000-0100-00000E000000}" name="Coordinate Basis"/>
    <tableColumn id="15" xr3:uid="{00000000-0010-0000-0100-00000F000000}" name="Statistics Source ID"/>
    <tableColumn id="16" xr3:uid="{00000000-0010-0000-0100-000010000000}" name="County Source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ntiesTable" displayName="CountiesTable" ref="A5:O21" totalsRowShown="0">
  <autoFilter ref="A5:O21" xr:uid="{00000000-0009-0000-0100-000003000000}"/>
  <tableColumns count="15">
    <tableColumn id="1" xr3:uid="{00000000-0010-0000-0200-000001000000}" name="County"/>
    <tableColumn id="2" xr3:uid="{00000000-0010-0000-0200-000002000000}" name="County FIPS"/>
    <tableColumn id="3" xr3:uid="{00000000-0010-0000-0200-000003000000}" name="District"/>
    <tableColumn id="4" xr3:uid="{00000000-0010-0000-0200-000004000000}" name="District FIPS"/>
    <tableColumn id="5" xr3:uid="{00000000-0010-0000-0200-000005000000}" name="Island / Atoll"/>
    <tableColumn id="6" xr3:uid="{00000000-0010-0000-0200-000006000000}" name="Latitude"/>
    <tableColumn id="7" xr3:uid="{00000000-0010-0000-0200-000007000000}" name="Longitude"/>
    <tableColumn id="8" xr3:uid="{00000000-0010-0000-0200-000008000000}" name="2020 Population"/>
    <tableColumn id="9" xr3:uid="{00000000-0010-0000-0200-000009000000}" name="2020 Population Under Age 5"/>
    <tableColumn id="10" xr3:uid="{00000000-0010-0000-0200-00000A000000}" name="Land Area (m²)"/>
    <tableColumn id="11" xr3:uid="{00000000-0010-0000-0200-00000B000000}" name="Land Area (sq mi)"/>
    <tableColumn id="12" xr3:uid="{00000000-0010-0000-0200-00000C000000}" name="Land Area (sq km)"/>
    <tableColumn id="13" xr3:uid="{00000000-0010-0000-0200-00000D000000}" name="Population Density (per sq mi)"/>
    <tableColumn id="14" xr3:uid="{00000000-0010-0000-0200-00000E000000}" name="Coordinate Basis"/>
    <tableColumn id="15" xr3:uid="{00000000-0010-0000-0200-00000F000000}" name="Source 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4:E10" totalsRowShown="0">
  <autoFilter ref="A4:E10" xr:uid="{00000000-0009-0000-0100-000004000000}"/>
  <tableColumns count="5">
    <tableColumn id="1" xr3:uid="{00000000-0010-0000-0300-000001000000}" name="Source ID"/>
    <tableColumn id="2" xr3:uid="{00000000-0010-0000-0300-000002000000}" name="Applies To"/>
    <tableColumn id="3" xr3:uid="{00000000-0010-0000-0300-000003000000}" name="Organization / Product"/>
    <tableColumn id="4" xr3:uid="{00000000-0010-0000-0300-000004000000}" name="Details"/>
    <tableColumn id="5" xr3:uid="{00000000-0010-0000-0300-000005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9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RowHeight="13.8"/>
  <cols>
    <col min="1" max="1" width="22" customWidth="1"/>
    <col min="2" max="2" width="12" customWidth="1"/>
    <col min="3" max="3" width="28" customWidth="1"/>
    <col min="4" max="4" width="23" customWidth="1"/>
    <col min="5" max="5" width="18" customWidth="1"/>
    <col min="6" max="6" width="27" customWidth="1"/>
    <col min="7" max="7" width="23" customWidth="1"/>
    <col min="8" max="9" width="12" customWidth="1"/>
    <col min="10" max="10" width="15" customWidth="1"/>
    <col min="11" max="11" width="18" customWidth="1"/>
    <col min="12" max="12" width="17" customWidth="1"/>
    <col min="13" max="14" width="16" customWidth="1"/>
    <col min="15" max="15" width="18" customWidth="1"/>
    <col min="16" max="16" width="24" customWidth="1"/>
    <col min="17" max="17" width="27" customWidth="1"/>
    <col min="18" max="18" width="17" customWidth="1"/>
    <col min="19" max="19" width="23" customWidth="1"/>
    <col min="20" max="21" width="17" customWidth="1"/>
    <col min="22" max="22" width="20" customWidth="1"/>
    <col min="23" max="23" width="52" customWidth="1"/>
  </cols>
  <sheetData>
    <row r="1" spans="1:23" ht="34.049999999999997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30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31.9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ht="25.95" customHeight="1">
      <c r="A4" s="1" t="s">
        <v>3</v>
      </c>
      <c r="B4" s="2">
        <v>82</v>
      </c>
      <c r="C4" s="1" t="s">
        <v>4</v>
      </c>
      <c r="D4" s="2">
        <v>8114</v>
      </c>
      <c r="E4" s="1" t="s">
        <v>5</v>
      </c>
      <c r="F4" s="2">
        <v>6374</v>
      </c>
      <c r="G4" s="1" t="s">
        <v>6</v>
      </c>
      <c r="H4" s="2">
        <v>49710</v>
      </c>
      <c r="I4" s="1" t="s">
        <v>7</v>
      </c>
      <c r="J4" s="2">
        <v>4569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ht="14.4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 ht="14.4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ht="43.95" customHeight="1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3" t="s">
        <v>20</v>
      </c>
      <c r="N7" s="3" t="s">
        <v>21</v>
      </c>
      <c r="O7" s="3" t="s">
        <v>22</v>
      </c>
      <c r="P7" s="3" t="s">
        <v>23</v>
      </c>
      <c r="Q7" s="3" t="s">
        <v>24</v>
      </c>
      <c r="R7" s="3" t="s">
        <v>25</v>
      </c>
      <c r="S7" s="3" t="s">
        <v>26</v>
      </c>
      <c r="T7" s="3" t="s">
        <v>27</v>
      </c>
      <c r="U7" s="3" t="s">
        <v>28</v>
      </c>
      <c r="V7" s="3" t="s">
        <v>29</v>
      </c>
      <c r="W7" s="3" t="s">
        <v>30</v>
      </c>
    </row>
    <row r="8" spans="1:23">
      <c r="A8" s="4" t="s">
        <v>31</v>
      </c>
      <c r="B8" s="5">
        <v>39</v>
      </c>
      <c r="C8" s="10" t="s">
        <v>32</v>
      </c>
      <c r="D8" s="10" t="s">
        <v>33</v>
      </c>
      <c r="E8" s="10" t="s">
        <v>34</v>
      </c>
      <c r="F8" s="10" t="s">
        <v>35</v>
      </c>
      <c r="G8" s="10" t="s">
        <v>36</v>
      </c>
      <c r="H8" s="6">
        <v>-14.32028</v>
      </c>
      <c r="I8" s="6">
        <v>-170.76389</v>
      </c>
      <c r="J8" s="5">
        <v>425</v>
      </c>
      <c r="K8" s="5">
        <v>55</v>
      </c>
      <c r="L8" s="5">
        <v>9307060</v>
      </c>
      <c r="M8" s="7">
        <f t="shared" ref="M8:M39" si="0">IF(L8=0,0,L8/2589988.110336)</f>
        <v>3.5934759556840561</v>
      </c>
      <c r="N8" s="7">
        <f t="shared" ref="N8:N39" si="1">IF(L8=0,0,L8/1000000)</f>
        <v>9.3070599999999999</v>
      </c>
      <c r="O8" s="8">
        <f t="shared" ref="O8:O39" si="2">IF(M8=0,0,J8/M8)</f>
        <v>118.26988833130977</v>
      </c>
      <c r="P8" s="10" t="s">
        <v>37</v>
      </c>
      <c r="Q8" s="10" t="s">
        <v>38</v>
      </c>
      <c r="R8" s="11" t="s">
        <v>39</v>
      </c>
      <c r="S8" s="10" t="s">
        <v>40</v>
      </c>
      <c r="T8" s="10" t="s">
        <v>41</v>
      </c>
      <c r="U8" s="10" t="s">
        <v>42</v>
      </c>
      <c r="V8" s="10" t="s">
        <v>43</v>
      </c>
      <c r="W8" s="10" t="s">
        <v>44</v>
      </c>
    </row>
    <row r="9" spans="1:23">
      <c r="A9" s="4" t="s">
        <v>45</v>
      </c>
      <c r="B9" s="5">
        <v>3</v>
      </c>
      <c r="C9" s="10" t="s">
        <v>32</v>
      </c>
      <c r="D9" s="10" t="s">
        <v>33</v>
      </c>
      <c r="E9" s="10" t="s">
        <v>34</v>
      </c>
      <c r="F9" s="10" t="s">
        <v>35</v>
      </c>
      <c r="G9" s="10" t="s">
        <v>36</v>
      </c>
      <c r="H9" s="6">
        <v>-14.307120599999999</v>
      </c>
      <c r="I9" s="6">
        <v>-170.76995249999999</v>
      </c>
      <c r="J9" s="5">
        <v>425</v>
      </c>
      <c r="K9" s="5">
        <v>55</v>
      </c>
      <c r="L9" s="5">
        <v>9307060</v>
      </c>
      <c r="M9" s="7">
        <f t="shared" si="0"/>
        <v>3.5934759556840561</v>
      </c>
      <c r="N9" s="7">
        <f t="shared" si="1"/>
        <v>9.3070599999999999</v>
      </c>
      <c r="O9" s="8">
        <f t="shared" si="2"/>
        <v>118.26988833130977</v>
      </c>
      <c r="P9" s="10" t="s">
        <v>37</v>
      </c>
      <c r="Q9" s="10" t="s">
        <v>38</v>
      </c>
      <c r="R9" s="11" t="s">
        <v>39</v>
      </c>
      <c r="S9" s="10" t="s">
        <v>40</v>
      </c>
      <c r="T9" s="10" t="s">
        <v>41</v>
      </c>
      <c r="U9" s="10" t="s">
        <v>42</v>
      </c>
      <c r="V9" s="10" t="s">
        <v>43</v>
      </c>
      <c r="W9" s="10" t="s">
        <v>44</v>
      </c>
    </row>
    <row r="10" spans="1:23">
      <c r="A10" s="4" t="s">
        <v>46</v>
      </c>
      <c r="B10" s="5">
        <v>9</v>
      </c>
      <c r="C10" s="10" t="s">
        <v>47</v>
      </c>
      <c r="D10" s="10" t="s">
        <v>48</v>
      </c>
      <c r="E10" s="10" t="s">
        <v>34</v>
      </c>
      <c r="F10" s="10" t="s">
        <v>35</v>
      </c>
      <c r="G10" s="10" t="s">
        <v>49</v>
      </c>
      <c r="H10" s="6">
        <v>-14.3318952</v>
      </c>
      <c r="I10" s="6">
        <v>-170.8030789</v>
      </c>
      <c r="J10" s="5">
        <v>96</v>
      </c>
      <c r="K10" s="5">
        <v>7</v>
      </c>
      <c r="L10" s="5">
        <v>1408628</v>
      </c>
      <c r="M10" s="7">
        <f t="shared" si="0"/>
        <v>0.54387431138332842</v>
      </c>
      <c r="N10" s="7">
        <f t="shared" si="1"/>
        <v>1.408628</v>
      </c>
      <c r="O10" s="8">
        <f t="shared" si="2"/>
        <v>176.5113703492022</v>
      </c>
      <c r="P10" s="10" t="s">
        <v>50</v>
      </c>
      <c r="Q10" s="10" t="s">
        <v>51</v>
      </c>
      <c r="R10" s="11" t="s">
        <v>52</v>
      </c>
      <c r="S10" s="10" t="s">
        <v>53</v>
      </c>
      <c r="T10" s="10" t="s">
        <v>41</v>
      </c>
      <c r="U10" s="10" t="s">
        <v>41</v>
      </c>
      <c r="V10" s="10" t="s">
        <v>43</v>
      </c>
      <c r="W10" s="10" t="s">
        <v>54</v>
      </c>
    </row>
    <row r="11" spans="1:23">
      <c r="A11" s="4" t="s">
        <v>55</v>
      </c>
      <c r="B11" s="5">
        <v>37</v>
      </c>
      <c r="C11" s="10" t="s">
        <v>56</v>
      </c>
      <c r="D11" s="10" t="s">
        <v>48</v>
      </c>
      <c r="E11" s="10" t="s">
        <v>34</v>
      </c>
      <c r="F11" s="10" t="s">
        <v>57</v>
      </c>
      <c r="G11" s="10" t="s">
        <v>58</v>
      </c>
      <c r="H11" s="6">
        <v>-14.2572259</v>
      </c>
      <c r="I11" s="6">
        <v>-170.64518620000001</v>
      </c>
      <c r="J11" s="5">
        <v>327</v>
      </c>
      <c r="K11" s="5">
        <v>24</v>
      </c>
      <c r="L11" s="5">
        <v>2675455</v>
      </c>
      <c r="M11" s="7">
        <f t="shared" si="0"/>
        <v>1.0329989505831794</v>
      </c>
      <c r="N11" s="7">
        <f t="shared" si="1"/>
        <v>2.6754549999999999</v>
      </c>
      <c r="O11" s="8">
        <f t="shared" si="2"/>
        <v>316.55404859355588</v>
      </c>
      <c r="P11" s="10" t="s">
        <v>50</v>
      </c>
      <c r="Q11" s="10" t="s">
        <v>59</v>
      </c>
      <c r="R11" s="11" t="s">
        <v>60</v>
      </c>
      <c r="S11" s="10" t="s">
        <v>53</v>
      </c>
      <c r="T11" s="10" t="s">
        <v>41</v>
      </c>
      <c r="U11" s="10" t="s">
        <v>41</v>
      </c>
      <c r="V11" s="10" t="s">
        <v>43</v>
      </c>
      <c r="W11" s="10" t="s">
        <v>54</v>
      </c>
    </row>
    <row r="12" spans="1:23">
      <c r="A12" s="4" t="s">
        <v>61</v>
      </c>
      <c r="B12" s="5">
        <v>22</v>
      </c>
      <c r="C12" s="10" t="s">
        <v>62</v>
      </c>
      <c r="D12" s="10" t="s">
        <v>48</v>
      </c>
      <c r="E12" s="10" t="s">
        <v>34</v>
      </c>
      <c r="F12" s="10" t="s">
        <v>57</v>
      </c>
      <c r="G12" s="10" t="s">
        <v>63</v>
      </c>
      <c r="H12" s="6">
        <v>-14.26826</v>
      </c>
      <c r="I12" s="6">
        <v>-170.56522340000001</v>
      </c>
      <c r="J12" s="5">
        <v>275</v>
      </c>
      <c r="K12" s="5">
        <v>19</v>
      </c>
      <c r="L12" s="5">
        <v>1362715</v>
      </c>
      <c r="M12" s="7">
        <f t="shared" si="0"/>
        <v>0.52614720297816908</v>
      </c>
      <c r="N12" s="7">
        <f t="shared" si="1"/>
        <v>1.3627149999999999</v>
      </c>
      <c r="O12" s="8">
        <f t="shared" si="2"/>
        <v>522.66741786976741</v>
      </c>
      <c r="P12" s="10" t="s">
        <v>50</v>
      </c>
      <c r="Q12" s="10" t="s">
        <v>64</v>
      </c>
      <c r="R12" s="11" t="s">
        <v>65</v>
      </c>
      <c r="S12" s="10" t="s">
        <v>53</v>
      </c>
      <c r="T12" s="10" t="s">
        <v>41</v>
      </c>
      <c r="U12" s="10" t="s">
        <v>41</v>
      </c>
      <c r="V12" s="10" t="s">
        <v>43</v>
      </c>
      <c r="W12" s="10" t="s">
        <v>54</v>
      </c>
    </row>
    <row r="13" spans="1:23">
      <c r="A13" s="4" t="s">
        <v>66</v>
      </c>
      <c r="B13" s="5">
        <v>5</v>
      </c>
      <c r="C13" s="10" t="s">
        <v>67</v>
      </c>
      <c r="D13" s="10" t="s">
        <v>48</v>
      </c>
      <c r="E13" s="10" t="s">
        <v>34</v>
      </c>
      <c r="F13" s="10" t="s">
        <v>57</v>
      </c>
      <c r="G13" s="10" t="s">
        <v>58</v>
      </c>
      <c r="H13" s="6">
        <v>-14.2810559</v>
      </c>
      <c r="I13" s="6">
        <v>-170.63433409999999</v>
      </c>
      <c r="J13" s="5">
        <v>29</v>
      </c>
      <c r="K13" s="5">
        <v>2</v>
      </c>
      <c r="L13" s="5">
        <v>1006574</v>
      </c>
      <c r="M13" s="7">
        <f t="shared" si="0"/>
        <v>0.38864039413270385</v>
      </c>
      <c r="N13" s="7">
        <f t="shared" si="1"/>
        <v>1.0065740000000001</v>
      </c>
      <c r="O13" s="8">
        <f t="shared" si="2"/>
        <v>74.619109176020842</v>
      </c>
      <c r="P13" s="10" t="s">
        <v>50</v>
      </c>
      <c r="Q13" s="10" t="s">
        <v>68</v>
      </c>
      <c r="R13" s="11" t="s">
        <v>69</v>
      </c>
      <c r="S13" s="10" t="s">
        <v>53</v>
      </c>
      <c r="T13" s="10" t="s">
        <v>41</v>
      </c>
      <c r="U13" s="10" t="s">
        <v>41</v>
      </c>
      <c r="V13" s="10" t="s">
        <v>43</v>
      </c>
      <c r="W13" s="10" t="s">
        <v>54</v>
      </c>
    </row>
    <row r="14" spans="1:23">
      <c r="A14" s="4" t="s">
        <v>70</v>
      </c>
      <c r="B14" s="5">
        <v>36</v>
      </c>
      <c r="C14" s="10" t="s">
        <v>71</v>
      </c>
      <c r="D14" s="10" t="s">
        <v>48</v>
      </c>
      <c r="E14" s="10" t="s">
        <v>34</v>
      </c>
      <c r="F14" s="10" t="s">
        <v>57</v>
      </c>
      <c r="G14" s="10" t="s">
        <v>72</v>
      </c>
      <c r="H14" s="6">
        <v>-14.280377</v>
      </c>
      <c r="I14" s="6">
        <v>-170.60455830000001</v>
      </c>
      <c r="J14" s="5">
        <v>296</v>
      </c>
      <c r="K14" s="5">
        <v>23</v>
      </c>
      <c r="L14" s="5">
        <v>1296946</v>
      </c>
      <c r="M14" s="7">
        <f t="shared" si="0"/>
        <v>0.500753650112991</v>
      </c>
      <c r="N14" s="7">
        <f t="shared" si="1"/>
        <v>1.2969459999999999</v>
      </c>
      <c r="O14" s="8">
        <f t="shared" si="2"/>
        <v>591.10902123870687</v>
      </c>
      <c r="P14" s="10" t="s">
        <v>50</v>
      </c>
      <c r="Q14" s="10" t="s">
        <v>73</v>
      </c>
      <c r="R14" s="11" t="s">
        <v>74</v>
      </c>
      <c r="S14" s="10" t="s">
        <v>53</v>
      </c>
      <c r="T14" s="10" t="s">
        <v>41</v>
      </c>
      <c r="U14" s="10" t="s">
        <v>41</v>
      </c>
      <c r="V14" s="10" t="s">
        <v>43</v>
      </c>
      <c r="W14" s="10" t="s">
        <v>54</v>
      </c>
    </row>
    <row r="15" spans="1:23">
      <c r="A15" s="4" t="s">
        <v>75</v>
      </c>
      <c r="B15" s="5">
        <v>25</v>
      </c>
      <c r="C15" s="10" t="s">
        <v>76</v>
      </c>
      <c r="D15" s="10" t="s">
        <v>48</v>
      </c>
      <c r="E15" s="10" t="s">
        <v>34</v>
      </c>
      <c r="F15" s="10" t="s">
        <v>35</v>
      </c>
      <c r="G15" s="10" t="s">
        <v>49</v>
      </c>
      <c r="H15" s="6">
        <v>-14.335671899999999</v>
      </c>
      <c r="I15" s="6">
        <v>-170.79031660000001</v>
      </c>
      <c r="J15" s="5">
        <v>163</v>
      </c>
      <c r="K15" s="5">
        <v>18</v>
      </c>
      <c r="L15" s="5">
        <v>2014091</v>
      </c>
      <c r="M15" s="7">
        <f t="shared" si="0"/>
        <v>0.77764488260091325</v>
      </c>
      <c r="N15" s="7">
        <f t="shared" si="1"/>
        <v>2.0140910000000001</v>
      </c>
      <c r="O15" s="8">
        <f t="shared" si="2"/>
        <v>209.60724316069533</v>
      </c>
      <c r="P15" s="10" t="s">
        <v>50</v>
      </c>
      <c r="Q15" s="10" t="s">
        <v>77</v>
      </c>
      <c r="R15" s="11" t="s">
        <v>78</v>
      </c>
      <c r="S15" s="10" t="s">
        <v>53</v>
      </c>
      <c r="T15" s="10" t="s">
        <v>41</v>
      </c>
      <c r="U15" s="10" t="s">
        <v>41</v>
      </c>
      <c r="V15" s="10" t="s">
        <v>43</v>
      </c>
      <c r="W15" s="10" t="s">
        <v>54</v>
      </c>
    </row>
    <row r="16" spans="1:23">
      <c r="A16" s="4" t="s">
        <v>79</v>
      </c>
      <c r="B16" s="5">
        <v>36</v>
      </c>
      <c r="C16" s="10" t="s">
        <v>80</v>
      </c>
      <c r="D16" s="10" t="s">
        <v>48</v>
      </c>
      <c r="E16" s="10" t="s">
        <v>34</v>
      </c>
      <c r="F16" s="10" t="s">
        <v>35</v>
      </c>
      <c r="G16" s="10" t="s">
        <v>49</v>
      </c>
      <c r="H16" s="6">
        <v>-14.3228691</v>
      </c>
      <c r="I16" s="6">
        <v>-170.84499640000001</v>
      </c>
      <c r="J16" s="5">
        <v>246</v>
      </c>
      <c r="K16" s="5">
        <v>25</v>
      </c>
      <c r="L16" s="5">
        <v>787324</v>
      </c>
      <c r="M16" s="7">
        <f t="shared" si="0"/>
        <v>0.30398749587227264</v>
      </c>
      <c r="N16" s="7">
        <f t="shared" si="1"/>
        <v>0.78732400000000002</v>
      </c>
      <c r="O16" s="8">
        <f t="shared" si="2"/>
        <v>809.24381213154436</v>
      </c>
      <c r="P16" s="10" t="s">
        <v>50</v>
      </c>
      <c r="Q16" s="10" t="s">
        <v>81</v>
      </c>
      <c r="R16" s="11" t="s">
        <v>82</v>
      </c>
      <c r="S16" s="10" t="s">
        <v>53</v>
      </c>
      <c r="T16" s="10" t="s">
        <v>41</v>
      </c>
      <c r="U16" s="10" t="s">
        <v>41</v>
      </c>
      <c r="V16" s="10" t="s">
        <v>43</v>
      </c>
      <c r="W16" s="10" t="s">
        <v>54</v>
      </c>
    </row>
    <row r="17" spans="1:23">
      <c r="A17" s="4" t="s">
        <v>83</v>
      </c>
      <c r="B17" s="5">
        <v>7</v>
      </c>
      <c r="C17" s="10" t="s">
        <v>84</v>
      </c>
      <c r="D17" s="10" t="s">
        <v>48</v>
      </c>
      <c r="E17" s="10" t="s">
        <v>34</v>
      </c>
      <c r="F17" s="10" t="s">
        <v>57</v>
      </c>
      <c r="G17" s="10" t="s">
        <v>58</v>
      </c>
      <c r="H17" s="6">
        <v>-14.2681144</v>
      </c>
      <c r="I17" s="6">
        <v>-170.62570579999999</v>
      </c>
      <c r="J17" s="5">
        <v>68</v>
      </c>
      <c r="K17" s="5">
        <v>8</v>
      </c>
      <c r="L17" s="5">
        <v>796618</v>
      </c>
      <c r="M17" s="7">
        <f t="shared" si="0"/>
        <v>0.3075759293337661</v>
      </c>
      <c r="N17" s="7">
        <f t="shared" si="1"/>
        <v>0.79661800000000005</v>
      </c>
      <c r="O17" s="8">
        <f t="shared" si="2"/>
        <v>221.08362038373224</v>
      </c>
      <c r="P17" s="10" t="s">
        <v>50</v>
      </c>
      <c r="Q17" s="10" t="s">
        <v>85</v>
      </c>
      <c r="R17" s="11" t="s">
        <v>86</v>
      </c>
      <c r="S17" s="10" t="s">
        <v>53</v>
      </c>
      <c r="T17" s="10" t="s">
        <v>41</v>
      </c>
      <c r="U17" s="10" t="s">
        <v>41</v>
      </c>
      <c r="V17" s="10" t="s">
        <v>43</v>
      </c>
      <c r="W17" s="10" t="s">
        <v>54</v>
      </c>
    </row>
    <row r="18" spans="1:23">
      <c r="A18" s="4" t="s">
        <v>87</v>
      </c>
      <c r="B18" s="5">
        <v>25</v>
      </c>
      <c r="C18" s="10" t="s">
        <v>88</v>
      </c>
      <c r="D18" s="10" t="s">
        <v>48</v>
      </c>
      <c r="E18" s="10" t="s">
        <v>34</v>
      </c>
      <c r="F18" s="10" t="s">
        <v>57</v>
      </c>
      <c r="G18" s="10" t="s">
        <v>72</v>
      </c>
      <c r="H18" s="6">
        <v>-14.274342900000001</v>
      </c>
      <c r="I18" s="6">
        <v>-170.57806339999999</v>
      </c>
      <c r="J18" s="5">
        <v>261</v>
      </c>
      <c r="K18" s="5">
        <v>15</v>
      </c>
      <c r="L18" s="5">
        <v>1705035</v>
      </c>
      <c r="M18" s="7">
        <f t="shared" si="0"/>
        <v>0.65831769389041916</v>
      </c>
      <c r="N18" s="7">
        <f t="shared" si="1"/>
        <v>1.7050350000000001</v>
      </c>
      <c r="O18" s="8">
        <f t="shared" si="2"/>
        <v>396.46511467371403</v>
      </c>
      <c r="P18" s="10" t="s">
        <v>50</v>
      </c>
      <c r="Q18" s="10" t="s">
        <v>89</v>
      </c>
      <c r="R18" s="11" t="s">
        <v>90</v>
      </c>
      <c r="S18" s="10" t="s">
        <v>53</v>
      </c>
      <c r="T18" s="10" t="s">
        <v>41</v>
      </c>
      <c r="U18" s="10" t="s">
        <v>41</v>
      </c>
      <c r="V18" s="10" t="s">
        <v>43</v>
      </c>
      <c r="W18" s="10" t="s">
        <v>54</v>
      </c>
    </row>
    <row r="19" spans="1:23">
      <c r="A19" s="4" t="s">
        <v>91</v>
      </c>
      <c r="B19" s="5">
        <v>34</v>
      </c>
      <c r="C19" s="10" t="s">
        <v>92</v>
      </c>
      <c r="D19" s="10" t="s">
        <v>48</v>
      </c>
      <c r="E19" s="10" t="s">
        <v>34</v>
      </c>
      <c r="F19" s="10" t="s">
        <v>57</v>
      </c>
      <c r="G19" s="10" t="s">
        <v>63</v>
      </c>
      <c r="H19" s="6">
        <v>-14.268460299999999</v>
      </c>
      <c r="I19" s="6">
        <v>-170.5938123</v>
      </c>
      <c r="J19" s="5">
        <v>344</v>
      </c>
      <c r="K19" s="5">
        <v>27</v>
      </c>
      <c r="L19" s="5">
        <v>1723146</v>
      </c>
      <c r="M19" s="7">
        <f t="shared" si="0"/>
        <v>0.66531039008378134</v>
      </c>
      <c r="N19" s="7">
        <f t="shared" si="1"/>
        <v>1.7231460000000001</v>
      </c>
      <c r="O19" s="8">
        <f t="shared" si="2"/>
        <v>517.05189807223769</v>
      </c>
      <c r="P19" s="10" t="s">
        <v>50</v>
      </c>
      <c r="Q19" s="10" t="s">
        <v>93</v>
      </c>
      <c r="R19" s="11" t="s">
        <v>94</v>
      </c>
      <c r="S19" s="10" t="s">
        <v>53</v>
      </c>
      <c r="T19" s="10" t="s">
        <v>41</v>
      </c>
      <c r="U19" s="10" t="s">
        <v>41</v>
      </c>
      <c r="V19" s="10" t="s">
        <v>43</v>
      </c>
      <c r="W19" s="10" t="s">
        <v>54</v>
      </c>
    </row>
    <row r="20" spans="1:23">
      <c r="A20" s="4" t="s">
        <v>95</v>
      </c>
      <c r="B20" s="5">
        <v>80</v>
      </c>
      <c r="C20" s="10" t="s">
        <v>96</v>
      </c>
      <c r="D20" s="10" t="s">
        <v>48</v>
      </c>
      <c r="E20" s="10" t="s">
        <v>34</v>
      </c>
      <c r="F20" s="10" t="s">
        <v>35</v>
      </c>
      <c r="G20" s="10" t="s">
        <v>36</v>
      </c>
      <c r="H20" s="6">
        <v>-14.2882108</v>
      </c>
      <c r="I20" s="6">
        <v>-170.78117</v>
      </c>
      <c r="J20" s="5">
        <v>650</v>
      </c>
      <c r="K20" s="5">
        <v>58</v>
      </c>
      <c r="L20" s="5">
        <v>5811947</v>
      </c>
      <c r="M20" s="7">
        <f t="shared" si="0"/>
        <v>2.2440052820342924</v>
      </c>
      <c r="N20" s="7">
        <f t="shared" si="1"/>
        <v>5.811947</v>
      </c>
      <c r="O20" s="8">
        <f t="shared" si="2"/>
        <v>289.6606372560521</v>
      </c>
      <c r="P20" s="10" t="s">
        <v>50</v>
      </c>
      <c r="Q20" s="10" t="s">
        <v>97</v>
      </c>
      <c r="R20" s="11" t="s">
        <v>98</v>
      </c>
      <c r="S20" s="10" t="s">
        <v>53</v>
      </c>
      <c r="T20" s="10" t="s">
        <v>41</v>
      </c>
      <c r="U20" s="10" t="s">
        <v>41</v>
      </c>
      <c r="V20" s="10" t="s">
        <v>43</v>
      </c>
      <c r="W20" s="10" t="s">
        <v>99</v>
      </c>
    </row>
    <row r="21" spans="1:23">
      <c r="A21" s="4" t="s">
        <v>100</v>
      </c>
      <c r="B21" s="5">
        <v>16</v>
      </c>
      <c r="C21" s="10" t="s">
        <v>101</v>
      </c>
      <c r="D21" s="10" t="s">
        <v>48</v>
      </c>
      <c r="E21" s="10" t="s">
        <v>34</v>
      </c>
      <c r="F21" s="10" t="s">
        <v>35</v>
      </c>
      <c r="G21" s="10" t="s">
        <v>49</v>
      </c>
      <c r="H21" s="6">
        <v>-14.3332845</v>
      </c>
      <c r="I21" s="6">
        <v>-170.7947738</v>
      </c>
      <c r="J21" s="5">
        <v>157</v>
      </c>
      <c r="K21" s="5">
        <v>15</v>
      </c>
      <c r="L21" s="5">
        <v>1387610</v>
      </c>
      <c r="M21" s="7">
        <f t="shared" si="0"/>
        <v>0.53575921621508327</v>
      </c>
      <c r="N21" s="7">
        <f t="shared" si="1"/>
        <v>1.38761</v>
      </c>
      <c r="O21" s="8">
        <f t="shared" si="2"/>
        <v>293.04208914806901</v>
      </c>
      <c r="P21" s="10" t="s">
        <v>50</v>
      </c>
      <c r="Q21" s="10" t="s">
        <v>102</v>
      </c>
      <c r="R21" s="11" t="s">
        <v>103</v>
      </c>
      <c r="S21" s="10" t="s">
        <v>53</v>
      </c>
      <c r="T21" s="10" t="s">
        <v>41</v>
      </c>
      <c r="U21" s="10" t="s">
        <v>41</v>
      </c>
      <c r="V21" s="10" t="s">
        <v>43</v>
      </c>
      <c r="W21" s="10" t="s">
        <v>54</v>
      </c>
    </row>
    <row r="22" spans="1:23">
      <c r="A22" s="4" t="s">
        <v>104</v>
      </c>
      <c r="B22" s="5">
        <v>28</v>
      </c>
      <c r="C22" s="10" t="s">
        <v>105</v>
      </c>
      <c r="D22" s="10" t="s">
        <v>48</v>
      </c>
      <c r="E22" s="10" t="s">
        <v>34</v>
      </c>
      <c r="F22" s="10" t="s">
        <v>57</v>
      </c>
      <c r="G22" s="10" t="s">
        <v>106</v>
      </c>
      <c r="H22" s="6">
        <v>-14.2675693</v>
      </c>
      <c r="I22" s="6">
        <v>-170.6861806</v>
      </c>
      <c r="J22" s="5">
        <v>236</v>
      </c>
      <c r="K22" s="5">
        <v>19</v>
      </c>
      <c r="L22" s="5">
        <v>155820</v>
      </c>
      <c r="M22" s="7">
        <f t="shared" si="0"/>
        <v>6.0162438344083913E-2</v>
      </c>
      <c r="N22" s="7">
        <f t="shared" si="1"/>
        <v>0.15581999999999999</v>
      </c>
      <c r="O22" s="8">
        <f t="shared" si="2"/>
        <v>3922.7133489879093</v>
      </c>
      <c r="P22" s="10" t="s">
        <v>50</v>
      </c>
      <c r="Q22" s="10" t="s">
        <v>107</v>
      </c>
      <c r="R22" s="11" t="s">
        <v>108</v>
      </c>
      <c r="S22" s="10" t="s">
        <v>53</v>
      </c>
      <c r="T22" s="10" t="s">
        <v>41</v>
      </c>
      <c r="U22" s="10" t="s">
        <v>41</v>
      </c>
      <c r="V22" s="10" t="s">
        <v>43</v>
      </c>
      <c r="W22" s="10" t="s">
        <v>54</v>
      </c>
    </row>
    <row r="23" spans="1:23">
      <c r="A23" s="4" t="s">
        <v>109</v>
      </c>
      <c r="B23" s="5">
        <v>222</v>
      </c>
      <c r="C23" s="10" t="s">
        <v>110</v>
      </c>
      <c r="D23" s="10" t="s">
        <v>48</v>
      </c>
      <c r="E23" s="10" t="s">
        <v>34</v>
      </c>
      <c r="F23" s="10" t="s">
        <v>57</v>
      </c>
      <c r="G23" s="10" t="s">
        <v>106</v>
      </c>
      <c r="H23" s="6">
        <v>-14.274721899999999</v>
      </c>
      <c r="I23" s="6">
        <v>-170.6608597</v>
      </c>
      <c r="J23" s="5">
        <v>1549</v>
      </c>
      <c r="K23" s="5">
        <v>133</v>
      </c>
      <c r="L23" s="5">
        <v>2612476</v>
      </c>
      <c r="M23" s="7">
        <f t="shared" si="0"/>
        <v>1.0086826227403347</v>
      </c>
      <c r="N23" s="7">
        <f t="shared" si="1"/>
        <v>2.612476</v>
      </c>
      <c r="O23" s="8">
        <f t="shared" si="2"/>
        <v>1535.66638809714</v>
      </c>
      <c r="P23" s="10" t="s">
        <v>50</v>
      </c>
      <c r="Q23" s="10" t="s">
        <v>111</v>
      </c>
      <c r="R23" s="11" t="s">
        <v>112</v>
      </c>
      <c r="S23" s="10" t="s">
        <v>53</v>
      </c>
      <c r="T23" s="10" t="s">
        <v>41</v>
      </c>
      <c r="U23" s="10" t="s">
        <v>41</v>
      </c>
      <c r="V23" s="10" t="s">
        <v>43</v>
      </c>
      <c r="W23" s="10" t="s">
        <v>54</v>
      </c>
    </row>
    <row r="24" spans="1:23">
      <c r="A24" s="4" t="s">
        <v>113</v>
      </c>
      <c r="B24" s="5">
        <v>9</v>
      </c>
      <c r="C24" s="10" t="s">
        <v>114</v>
      </c>
      <c r="D24" s="10" t="s">
        <v>48</v>
      </c>
      <c r="E24" s="10" t="s">
        <v>34</v>
      </c>
      <c r="F24" s="10" t="s">
        <v>57</v>
      </c>
      <c r="G24" s="10" t="s">
        <v>72</v>
      </c>
      <c r="H24" s="6">
        <v>-14.267851500000001</v>
      </c>
      <c r="I24" s="6">
        <v>-170.57782539999999</v>
      </c>
      <c r="J24" s="5">
        <v>88</v>
      </c>
      <c r="K24" s="5">
        <v>5</v>
      </c>
      <c r="L24" s="5">
        <v>664202</v>
      </c>
      <c r="M24" s="7">
        <f t="shared" si="0"/>
        <v>0.25644982590820958</v>
      </c>
      <c r="N24" s="7">
        <f t="shared" si="1"/>
        <v>0.66420199999999996</v>
      </c>
      <c r="O24" s="8">
        <f t="shared" si="2"/>
        <v>343.14704519042101</v>
      </c>
      <c r="P24" s="10" t="s">
        <v>50</v>
      </c>
      <c r="Q24" s="10" t="s">
        <v>115</v>
      </c>
      <c r="R24" s="11" t="s">
        <v>116</v>
      </c>
      <c r="S24" s="10" t="s">
        <v>53</v>
      </c>
      <c r="T24" s="10" t="s">
        <v>41</v>
      </c>
      <c r="U24" s="10" t="s">
        <v>41</v>
      </c>
      <c r="V24" s="10" t="s">
        <v>43</v>
      </c>
      <c r="W24" s="10" t="s">
        <v>54</v>
      </c>
    </row>
    <row r="25" spans="1:23">
      <c r="A25" s="4" t="s">
        <v>117</v>
      </c>
      <c r="B25" s="5">
        <v>2</v>
      </c>
      <c r="C25" s="10" t="s">
        <v>118</v>
      </c>
      <c r="D25" s="10" t="s">
        <v>48</v>
      </c>
      <c r="E25" s="10" t="s">
        <v>34</v>
      </c>
      <c r="F25" s="10" t="s">
        <v>35</v>
      </c>
      <c r="G25" s="10" t="s">
        <v>49</v>
      </c>
      <c r="H25" s="6">
        <v>-14.3323249</v>
      </c>
      <c r="I25" s="6">
        <v>-170.78609510000001</v>
      </c>
      <c r="J25" s="5">
        <v>242</v>
      </c>
      <c r="K25" s="5">
        <v>29</v>
      </c>
      <c r="L25" s="5">
        <v>331534</v>
      </c>
      <c r="M25" s="7">
        <f t="shared" si="0"/>
        <v>0.12800599303021123</v>
      </c>
      <c r="N25" s="7">
        <f t="shared" si="1"/>
        <v>0.331534</v>
      </c>
      <c r="O25" s="8">
        <f t="shared" si="2"/>
        <v>1890.5364840448101</v>
      </c>
      <c r="P25" s="10" t="s">
        <v>50</v>
      </c>
      <c r="Q25" s="10" t="s">
        <v>119</v>
      </c>
      <c r="R25" s="11" t="s">
        <v>120</v>
      </c>
      <c r="S25" s="10" t="s">
        <v>53</v>
      </c>
      <c r="T25" s="10" t="s">
        <v>41</v>
      </c>
      <c r="U25" s="10" t="s">
        <v>41</v>
      </c>
      <c r="V25" s="10" t="s">
        <v>43</v>
      </c>
      <c r="W25" s="10" t="s">
        <v>54</v>
      </c>
    </row>
    <row r="26" spans="1:23">
      <c r="A26" s="4" t="s">
        <v>121</v>
      </c>
      <c r="B26" s="5">
        <v>56</v>
      </c>
      <c r="C26" s="10" t="s">
        <v>122</v>
      </c>
      <c r="D26" s="10" t="s">
        <v>48</v>
      </c>
      <c r="E26" s="10" t="s">
        <v>123</v>
      </c>
      <c r="F26" s="10" t="s">
        <v>57</v>
      </c>
      <c r="G26" s="10" t="s">
        <v>72</v>
      </c>
      <c r="H26" s="6">
        <v>-14.2883213</v>
      </c>
      <c r="I26" s="6">
        <v>-170.5564138</v>
      </c>
      <c r="J26" s="5">
        <v>402</v>
      </c>
      <c r="K26" s="5">
        <v>46</v>
      </c>
      <c r="L26" s="5">
        <v>1507283</v>
      </c>
      <c r="M26" s="7">
        <f t="shared" si="0"/>
        <v>0.58196521983433336</v>
      </c>
      <c r="N26" s="7">
        <f t="shared" si="1"/>
        <v>1.5072829999999999</v>
      </c>
      <c r="O26" s="8">
        <f t="shared" si="2"/>
        <v>690.76292929401586</v>
      </c>
      <c r="P26" s="10" t="s">
        <v>50</v>
      </c>
      <c r="Q26" s="10" t="s">
        <v>124</v>
      </c>
      <c r="R26" s="11" t="s">
        <v>125</v>
      </c>
      <c r="S26" s="10" t="s">
        <v>53</v>
      </c>
      <c r="T26" s="10" t="s">
        <v>41</v>
      </c>
      <c r="U26" s="10" t="s">
        <v>41</v>
      </c>
      <c r="V26" s="10" t="s">
        <v>43</v>
      </c>
      <c r="W26" s="10" t="s">
        <v>54</v>
      </c>
    </row>
    <row r="27" spans="1:23">
      <c r="A27" s="4" t="s">
        <v>126</v>
      </c>
      <c r="B27" s="5">
        <v>15</v>
      </c>
      <c r="C27" s="10" t="s">
        <v>127</v>
      </c>
      <c r="D27" s="10" t="s">
        <v>48</v>
      </c>
      <c r="E27" s="10" t="s">
        <v>34</v>
      </c>
      <c r="F27" s="10" t="s">
        <v>57</v>
      </c>
      <c r="G27" s="10" t="s">
        <v>58</v>
      </c>
      <c r="H27" s="6">
        <v>-14.271559999999999</v>
      </c>
      <c r="I27" s="6">
        <v>-170.63077519999999</v>
      </c>
      <c r="J27" s="5">
        <v>214</v>
      </c>
      <c r="K27" s="5">
        <v>15</v>
      </c>
      <c r="L27" s="5">
        <v>859621</v>
      </c>
      <c r="M27" s="7">
        <f t="shared" si="0"/>
        <v>0.33190152362841585</v>
      </c>
      <c r="N27" s="7">
        <f t="shared" si="1"/>
        <v>0.85962099999999997</v>
      </c>
      <c r="O27" s="8">
        <f t="shared" si="2"/>
        <v>644.76956194870058</v>
      </c>
      <c r="P27" s="10" t="s">
        <v>50</v>
      </c>
      <c r="Q27" s="10" t="s">
        <v>128</v>
      </c>
      <c r="R27" s="11" t="s">
        <v>129</v>
      </c>
      <c r="S27" s="10" t="s">
        <v>53</v>
      </c>
      <c r="T27" s="10" t="s">
        <v>41</v>
      </c>
      <c r="U27" s="10" t="s">
        <v>41</v>
      </c>
      <c r="V27" s="10" t="s">
        <v>43</v>
      </c>
      <c r="W27" s="10" t="s">
        <v>54</v>
      </c>
    </row>
    <row r="28" spans="1:23">
      <c r="A28" s="4" t="s">
        <v>130</v>
      </c>
      <c r="B28" s="5">
        <v>6</v>
      </c>
      <c r="C28" s="10" t="s">
        <v>131</v>
      </c>
      <c r="D28" s="10" t="s">
        <v>48</v>
      </c>
      <c r="E28" s="10" t="s">
        <v>34</v>
      </c>
      <c r="F28" s="10" t="s">
        <v>57</v>
      </c>
      <c r="G28" s="10" t="s">
        <v>58</v>
      </c>
      <c r="H28" s="6">
        <v>-14.281478699999999</v>
      </c>
      <c r="I28" s="6">
        <v>-170.63165670000001</v>
      </c>
      <c r="J28" s="5">
        <v>34</v>
      </c>
      <c r="K28" s="5">
        <v>3</v>
      </c>
      <c r="L28" s="5">
        <v>721414</v>
      </c>
      <c r="M28" s="7">
        <f t="shared" si="0"/>
        <v>0.27853950260274002</v>
      </c>
      <c r="N28" s="7">
        <f t="shared" si="1"/>
        <v>0.721414</v>
      </c>
      <c r="O28" s="8">
        <f t="shared" si="2"/>
        <v>122.06527146884314</v>
      </c>
      <c r="P28" s="10" t="s">
        <v>50</v>
      </c>
      <c r="Q28" s="10" t="s">
        <v>132</v>
      </c>
      <c r="R28" s="11" t="s">
        <v>133</v>
      </c>
      <c r="S28" s="10" t="s">
        <v>53</v>
      </c>
      <c r="T28" s="10" t="s">
        <v>41</v>
      </c>
      <c r="U28" s="10" t="s">
        <v>41</v>
      </c>
      <c r="V28" s="10" t="s">
        <v>43</v>
      </c>
      <c r="W28" s="10" t="s">
        <v>54</v>
      </c>
    </row>
    <row r="29" spans="1:23">
      <c r="A29" s="4" t="s">
        <v>134</v>
      </c>
      <c r="B29" s="5">
        <v>1</v>
      </c>
      <c r="C29" s="10" t="s">
        <v>135</v>
      </c>
      <c r="D29" s="10" t="s">
        <v>33</v>
      </c>
      <c r="E29" s="10" t="s">
        <v>34</v>
      </c>
      <c r="F29" s="10" t="s">
        <v>136</v>
      </c>
      <c r="G29" s="10" t="s">
        <v>137</v>
      </c>
      <c r="H29" s="6">
        <v>-14.310829999999999</v>
      </c>
      <c r="I29" s="6">
        <v>-170.69278</v>
      </c>
      <c r="J29" s="5">
        <v>4991</v>
      </c>
      <c r="K29" s="5">
        <v>488</v>
      </c>
      <c r="L29" s="5">
        <v>7619237</v>
      </c>
      <c r="M29" s="7">
        <f t="shared" si="0"/>
        <v>2.9418038521464696</v>
      </c>
      <c r="N29" s="7">
        <f t="shared" si="1"/>
        <v>7.619237</v>
      </c>
      <c r="O29" s="8">
        <f t="shared" si="2"/>
        <v>1696.5781033831834</v>
      </c>
      <c r="P29" s="10" t="s">
        <v>37</v>
      </c>
      <c r="Q29" s="10" t="s">
        <v>138</v>
      </c>
      <c r="R29" s="11" t="s">
        <v>139</v>
      </c>
      <c r="S29" s="10" t="s">
        <v>40</v>
      </c>
      <c r="T29" s="10" t="s">
        <v>41</v>
      </c>
      <c r="U29" s="10" t="s">
        <v>42</v>
      </c>
      <c r="V29" s="10" t="s">
        <v>43</v>
      </c>
      <c r="W29" s="10" t="s">
        <v>140</v>
      </c>
    </row>
    <row r="30" spans="1:23">
      <c r="A30" s="4" t="s">
        <v>141</v>
      </c>
      <c r="B30" s="5">
        <v>150</v>
      </c>
      <c r="C30" s="10" t="s">
        <v>142</v>
      </c>
      <c r="D30" s="10" t="s">
        <v>48</v>
      </c>
      <c r="E30" s="10" t="s">
        <v>34</v>
      </c>
      <c r="F30" s="10" t="s">
        <v>57</v>
      </c>
      <c r="G30" s="10" t="s">
        <v>106</v>
      </c>
      <c r="H30" s="6">
        <v>-14.2857156</v>
      </c>
      <c r="I30" s="6">
        <v>-170.67600540000001</v>
      </c>
      <c r="J30" s="5">
        <v>731</v>
      </c>
      <c r="K30" s="5">
        <v>68</v>
      </c>
      <c r="L30" s="5">
        <v>1330169</v>
      </c>
      <c r="M30" s="7">
        <f t="shared" si="0"/>
        <v>0.51358112212624663</v>
      </c>
      <c r="N30" s="7">
        <f t="shared" si="1"/>
        <v>1.3301689999999999</v>
      </c>
      <c r="O30" s="8">
        <f t="shared" si="2"/>
        <v>1423.3389205849903</v>
      </c>
      <c r="P30" s="10" t="s">
        <v>50</v>
      </c>
      <c r="Q30" s="10" t="s">
        <v>143</v>
      </c>
      <c r="R30" s="11" t="s">
        <v>144</v>
      </c>
      <c r="S30" s="10" t="s">
        <v>53</v>
      </c>
      <c r="T30" s="10" t="s">
        <v>41</v>
      </c>
      <c r="U30" s="10" t="s">
        <v>41</v>
      </c>
      <c r="V30" s="10" t="s">
        <v>43</v>
      </c>
      <c r="W30" s="10" t="s">
        <v>54</v>
      </c>
    </row>
    <row r="31" spans="1:23">
      <c r="A31" s="4" t="s">
        <v>145</v>
      </c>
      <c r="B31" s="5">
        <v>43</v>
      </c>
      <c r="C31" s="10" t="s">
        <v>146</v>
      </c>
      <c r="D31" s="10" t="s">
        <v>33</v>
      </c>
      <c r="E31" s="10" t="s">
        <v>34</v>
      </c>
      <c r="F31" s="10" t="s">
        <v>136</v>
      </c>
      <c r="G31" s="10" t="s">
        <v>137</v>
      </c>
      <c r="H31" s="6">
        <v>-14.3271</v>
      </c>
      <c r="I31" s="6">
        <v>-170.72</v>
      </c>
      <c r="J31" s="5">
        <v>7988</v>
      </c>
      <c r="K31" s="5">
        <v>680</v>
      </c>
      <c r="L31" s="5">
        <v>6417913</v>
      </c>
      <c r="M31" s="7">
        <f t="shared" si="0"/>
        <v>2.477970062637624</v>
      </c>
      <c r="N31" s="7">
        <f t="shared" si="1"/>
        <v>6.4179130000000004</v>
      </c>
      <c r="O31" s="8">
        <f t="shared" si="2"/>
        <v>3223.606338285354</v>
      </c>
      <c r="P31" s="10" t="s">
        <v>37</v>
      </c>
      <c r="Q31" s="10" t="s">
        <v>147</v>
      </c>
      <c r="R31" s="11" t="s">
        <v>148</v>
      </c>
      <c r="S31" s="10" t="s">
        <v>40</v>
      </c>
      <c r="T31" s="10" t="s">
        <v>41</v>
      </c>
      <c r="U31" s="10" t="s">
        <v>42</v>
      </c>
      <c r="V31" s="10" t="s">
        <v>43</v>
      </c>
      <c r="W31" s="10" t="s">
        <v>149</v>
      </c>
    </row>
    <row r="32" spans="1:23">
      <c r="A32" s="4" t="s">
        <v>150</v>
      </c>
      <c r="B32" s="5">
        <v>28</v>
      </c>
      <c r="C32" s="10" t="s">
        <v>151</v>
      </c>
      <c r="D32" s="10" t="s">
        <v>48</v>
      </c>
      <c r="E32" s="10" t="s">
        <v>34</v>
      </c>
      <c r="F32" s="10" t="s">
        <v>57</v>
      </c>
      <c r="G32" s="10" t="s">
        <v>58</v>
      </c>
      <c r="H32" s="6">
        <v>-14.2699228</v>
      </c>
      <c r="I32" s="6">
        <v>-170.61659109999999</v>
      </c>
      <c r="J32" s="5">
        <v>287</v>
      </c>
      <c r="K32" s="5">
        <v>26</v>
      </c>
      <c r="L32" s="5">
        <v>1021668</v>
      </c>
      <c r="M32" s="7">
        <f t="shared" si="0"/>
        <v>0.39446822011374355</v>
      </c>
      <c r="N32" s="7">
        <f t="shared" si="1"/>
        <v>1.021668</v>
      </c>
      <c r="O32" s="8">
        <f t="shared" si="2"/>
        <v>727.56177903823163</v>
      </c>
      <c r="P32" s="10" t="s">
        <v>50</v>
      </c>
      <c r="Q32" s="10" t="s">
        <v>152</v>
      </c>
      <c r="R32" s="11" t="s">
        <v>153</v>
      </c>
      <c r="S32" s="10" t="s">
        <v>53</v>
      </c>
      <c r="T32" s="10" t="s">
        <v>41</v>
      </c>
      <c r="U32" s="10" t="s">
        <v>41</v>
      </c>
      <c r="V32" s="10" t="s">
        <v>43</v>
      </c>
      <c r="W32" s="10" t="s">
        <v>54</v>
      </c>
    </row>
    <row r="33" spans="1:23">
      <c r="A33" s="4" t="s">
        <v>154</v>
      </c>
      <c r="B33" s="5">
        <v>33</v>
      </c>
      <c r="C33" s="10" t="s">
        <v>155</v>
      </c>
      <c r="D33" s="10" t="s">
        <v>48</v>
      </c>
      <c r="E33" s="10" t="s">
        <v>34</v>
      </c>
      <c r="F33" s="10" t="s">
        <v>35</v>
      </c>
      <c r="G33" s="10" t="s">
        <v>49</v>
      </c>
      <c r="H33" s="6">
        <v>-14.3037422</v>
      </c>
      <c r="I33" s="6">
        <v>-170.82335409999999</v>
      </c>
      <c r="J33" s="5">
        <v>163</v>
      </c>
      <c r="K33" s="5">
        <v>15</v>
      </c>
      <c r="L33" s="5">
        <v>1545662</v>
      </c>
      <c r="M33" s="7">
        <f t="shared" si="0"/>
        <v>0.59678343457703387</v>
      </c>
      <c r="N33" s="7">
        <f t="shared" si="1"/>
        <v>1.5456620000000001</v>
      </c>
      <c r="O33" s="8">
        <f t="shared" si="2"/>
        <v>273.13090571209489</v>
      </c>
      <c r="P33" s="10" t="s">
        <v>50</v>
      </c>
      <c r="Q33" s="10" t="s">
        <v>156</v>
      </c>
      <c r="R33" s="11" t="s">
        <v>157</v>
      </c>
      <c r="S33" s="10" t="s">
        <v>53</v>
      </c>
      <c r="T33" s="10" t="s">
        <v>41</v>
      </c>
      <c r="U33" s="10" t="s">
        <v>41</v>
      </c>
      <c r="V33" s="10" t="s">
        <v>43</v>
      </c>
      <c r="W33" s="10" t="s">
        <v>54</v>
      </c>
    </row>
    <row r="34" spans="1:23">
      <c r="A34" s="4" t="s">
        <v>158</v>
      </c>
      <c r="B34" s="5">
        <v>9</v>
      </c>
      <c r="C34" s="10" t="s">
        <v>159</v>
      </c>
      <c r="D34" s="10" t="s">
        <v>48</v>
      </c>
      <c r="E34" s="10" t="s">
        <v>34</v>
      </c>
      <c r="F34" s="10" t="s">
        <v>35</v>
      </c>
      <c r="G34" s="10" t="s">
        <v>49</v>
      </c>
      <c r="H34" s="6">
        <v>-14.2983048</v>
      </c>
      <c r="I34" s="6">
        <v>-170.8100388</v>
      </c>
      <c r="J34" s="5">
        <v>37</v>
      </c>
      <c r="K34" s="5">
        <v>3</v>
      </c>
      <c r="L34" s="5">
        <v>3596435</v>
      </c>
      <c r="M34" s="7">
        <f t="shared" si="0"/>
        <v>1.3885913165576012</v>
      </c>
      <c r="N34" s="7">
        <f t="shared" si="1"/>
        <v>3.596435</v>
      </c>
      <c r="O34" s="8">
        <f t="shared" si="2"/>
        <v>26.645708898515338</v>
      </c>
      <c r="P34" s="10" t="s">
        <v>50</v>
      </c>
      <c r="Q34" s="10" t="s">
        <v>160</v>
      </c>
      <c r="R34" s="11" t="s">
        <v>161</v>
      </c>
      <c r="S34" s="10" t="s">
        <v>53</v>
      </c>
      <c r="T34" s="10" t="s">
        <v>41</v>
      </c>
      <c r="U34" s="10" t="s">
        <v>41</v>
      </c>
      <c r="V34" s="10" t="s">
        <v>43</v>
      </c>
      <c r="W34" s="10" t="s">
        <v>54</v>
      </c>
    </row>
    <row r="35" spans="1:23">
      <c r="A35" s="4" t="s">
        <v>162</v>
      </c>
      <c r="B35" s="5">
        <v>8</v>
      </c>
      <c r="C35" s="10" t="s">
        <v>163</v>
      </c>
      <c r="D35" s="10" t="s">
        <v>48</v>
      </c>
      <c r="E35" s="10" t="s">
        <v>34</v>
      </c>
      <c r="F35" s="10" t="s">
        <v>57</v>
      </c>
      <c r="G35" s="10" t="s">
        <v>164</v>
      </c>
      <c r="H35" s="6">
        <v>-14.299430600000001</v>
      </c>
      <c r="I35" s="6">
        <v>-170.6968924</v>
      </c>
      <c r="J35" s="5">
        <v>93</v>
      </c>
      <c r="K35" s="5">
        <v>8</v>
      </c>
      <c r="L35" s="5">
        <v>1364619</v>
      </c>
      <c r="M35" s="7">
        <f t="shared" si="0"/>
        <v>0.52688234148803392</v>
      </c>
      <c r="N35" s="7">
        <f t="shared" si="1"/>
        <v>1.364619</v>
      </c>
      <c r="O35" s="8">
        <f t="shared" si="2"/>
        <v>176.50999602178189</v>
      </c>
      <c r="P35" s="10" t="s">
        <v>50</v>
      </c>
      <c r="Q35" s="10" t="s">
        <v>165</v>
      </c>
      <c r="R35" s="11" t="s">
        <v>166</v>
      </c>
      <c r="S35" s="10" t="s">
        <v>53</v>
      </c>
      <c r="T35" s="10" t="s">
        <v>41</v>
      </c>
      <c r="U35" s="10" t="s">
        <v>41</v>
      </c>
      <c r="V35" s="10" t="s">
        <v>43</v>
      </c>
      <c r="W35" s="10" t="s">
        <v>54</v>
      </c>
    </row>
    <row r="36" spans="1:23">
      <c r="A36" s="4" t="s">
        <v>167</v>
      </c>
      <c r="B36" s="5">
        <v>89</v>
      </c>
      <c r="C36" s="10" t="s">
        <v>168</v>
      </c>
      <c r="D36" s="10" t="s">
        <v>48</v>
      </c>
      <c r="E36" s="10" t="s">
        <v>34</v>
      </c>
      <c r="F36" s="10" t="s">
        <v>57</v>
      </c>
      <c r="G36" s="10" t="s">
        <v>164</v>
      </c>
      <c r="H36" s="6">
        <v>-14.280663300000001</v>
      </c>
      <c r="I36" s="6">
        <v>-170.732382</v>
      </c>
      <c r="J36" s="5">
        <v>577</v>
      </c>
      <c r="K36" s="5">
        <v>52</v>
      </c>
      <c r="L36" s="5">
        <v>4360989</v>
      </c>
      <c r="M36" s="7">
        <f t="shared" si="0"/>
        <v>1.6837872662798623</v>
      </c>
      <c r="N36" s="7">
        <f t="shared" si="1"/>
        <v>4.360989</v>
      </c>
      <c r="O36" s="8">
        <f t="shared" si="2"/>
        <v>342.67986909938827</v>
      </c>
      <c r="P36" s="10" t="s">
        <v>50</v>
      </c>
      <c r="Q36" s="10" t="s">
        <v>169</v>
      </c>
      <c r="R36" s="11" t="s">
        <v>170</v>
      </c>
      <c r="S36" s="10" t="s">
        <v>53</v>
      </c>
      <c r="T36" s="10" t="s">
        <v>41</v>
      </c>
      <c r="U36" s="10" t="s">
        <v>41</v>
      </c>
      <c r="V36" s="10" t="s">
        <v>43</v>
      </c>
      <c r="W36" s="10" t="s">
        <v>54</v>
      </c>
    </row>
    <row r="37" spans="1:23">
      <c r="A37" s="4" t="s">
        <v>171</v>
      </c>
      <c r="B37" s="5">
        <v>173</v>
      </c>
      <c r="C37" s="10" t="s">
        <v>172</v>
      </c>
      <c r="D37" s="10" t="s">
        <v>48</v>
      </c>
      <c r="E37" s="10" t="s">
        <v>34</v>
      </c>
      <c r="F37" s="10" t="s">
        <v>57</v>
      </c>
      <c r="G37" s="10" t="s">
        <v>106</v>
      </c>
      <c r="H37" s="6">
        <v>-14.282583000000001</v>
      </c>
      <c r="I37" s="6">
        <v>-170.6933415</v>
      </c>
      <c r="J37" s="5">
        <v>1445</v>
      </c>
      <c r="K37" s="5">
        <v>105</v>
      </c>
      <c r="L37" s="5">
        <v>1718845</v>
      </c>
      <c r="M37" s="7">
        <f t="shared" si="0"/>
        <v>0.66364976469989034</v>
      </c>
      <c r="N37" s="7">
        <f t="shared" si="1"/>
        <v>1.718845</v>
      </c>
      <c r="O37" s="8">
        <f t="shared" si="2"/>
        <v>2177.3532921441547</v>
      </c>
      <c r="P37" s="10" t="s">
        <v>50</v>
      </c>
      <c r="Q37" s="10" t="s">
        <v>173</v>
      </c>
      <c r="R37" s="11" t="s">
        <v>174</v>
      </c>
      <c r="S37" s="10" t="s">
        <v>53</v>
      </c>
      <c r="T37" s="10" t="s">
        <v>41</v>
      </c>
      <c r="U37" s="10" t="s">
        <v>41</v>
      </c>
      <c r="V37" s="10" t="s">
        <v>43</v>
      </c>
      <c r="W37" s="10" t="s">
        <v>54</v>
      </c>
    </row>
    <row r="38" spans="1:23">
      <c r="A38" s="4" t="s">
        <v>175</v>
      </c>
      <c r="B38" s="5">
        <v>7</v>
      </c>
      <c r="C38" s="10" t="s">
        <v>176</v>
      </c>
      <c r="D38" s="10" t="s">
        <v>48</v>
      </c>
      <c r="E38" s="10" t="s">
        <v>34</v>
      </c>
      <c r="F38" s="10" t="s">
        <v>35</v>
      </c>
      <c r="G38" s="10" t="s">
        <v>49</v>
      </c>
      <c r="H38" s="6">
        <v>-14.3319107</v>
      </c>
      <c r="I38" s="6">
        <v>-170.8292337</v>
      </c>
      <c r="J38" s="5">
        <v>87</v>
      </c>
      <c r="K38" s="5">
        <v>6</v>
      </c>
      <c r="L38" s="5">
        <v>638527</v>
      </c>
      <c r="M38" s="7">
        <f t="shared" si="0"/>
        <v>0.2465366529876323</v>
      </c>
      <c r="N38" s="7">
        <f t="shared" si="1"/>
        <v>0.63852699999999996</v>
      </c>
      <c r="O38" s="8">
        <f t="shared" si="2"/>
        <v>352.8887041569613</v>
      </c>
      <c r="P38" s="10" t="s">
        <v>50</v>
      </c>
      <c r="Q38" s="10" t="s">
        <v>177</v>
      </c>
      <c r="R38" s="11" t="s">
        <v>178</v>
      </c>
      <c r="S38" s="10" t="s">
        <v>53</v>
      </c>
      <c r="T38" s="10" t="s">
        <v>41</v>
      </c>
      <c r="U38" s="10" t="s">
        <v>41</v>
      </c>
      <c r="V38" s="10" t="s">
        <v>43</v>
      </c>
      <c r="W38" s="10" t="s">
        <v>54</v>
      </c>
    </row>
    <row r="39" spans="1:23">
      <c r="A39" s="4" t="s">
        <v>179</v>
      </c>
      <c r="B39" s="5">
        <v>8</v>
      </c>
      <c r="C39" s="10" t="s">
        <v>180</v>
      </c>
      <c r="D39" s="10" t="s">
        <v>48</v>
      </c>
      <c r="E39" s="10" t="s">
        <v>181</v>
      </c>
      <c r="F39" s="10" t="s">
        <v>182</v>
      </c>
      <c r="G39" s="10" t="s">
        <v>180</v>
      </c>
      <c r="H39" s="6">
        <v>-14.219693599999999</v>
      </c>
      <c r="I39" s="6">
        <v>-169.50732679999999</v>
      </c>
      <c r="J39" s="5">
        <v>104</v>
      </c>
      <c r="K39" s="5">
        <v>13</v>
      </c>
      <c r="L39" s="5">
        <v>6931132</v>
      </c>
      <c r="M39" s="7">
        <f t="shared" si="0"/>
        <v>2.6761250263426195</v>
      </c>
      <c r="N39" s="7">
        <f t="shared" si="1"/>
        <v>6.9311319999999998</v>
      </c>
      <c r="O39" s="8">
        <f t="shared" si="2"/>
        <v>38.862160390964135</v>
      </c>
      <c r="P39" s="10" t="s">
        <v>50</v>
      </c>
      <c r="Q39" s="10" t="s">
        <v>183</v>
      </c>
      <c r="R39" s="11" t="s">
        <v>184</v>
      </c>
      <c r="S39" s="10" t="s">
        <v>53</v>
      </c>
      <c r="T39" s="10" t="s">
        <v>41</v>
      </c>
      <c r="U39" s="10" t="s">
        <v>41</v>
      </c>
      <c r="V39" s="10" t="s">
        <v>43</v>
      </c>
      <c r="W39" s="10" t="s">
        <v>54</v>
      </c>
    </row>
    <row r="40" spans="1:23">
      <c r="A40" s="4" t="s">
        <v>185</v>
      </c>
      <c r="B40" s="5">
        <v>239</v>
      </c>
      <c r="C40" s="10" t="s">
        <v>186</v>
      </c>
      <c r="D40" s="10" t="s">
        <v>48</v>
      </c>
      <c r="E40" s="10" t="s">
        <v>34</v>
      </c>
      <c r="F40" s="10" t="s">
        <v>35</v>
      </c>
      <c r="G40" s="10" t="s">
        <v>187</v>
      </c>
      <c r="H40" s="6">
        <v>-14.327615700000001</v>
      </c>
      <c r="I40" s="6">
        <v>-170.7438779</v>
      </c>
      <c r="J40" s="5">
        <v>1953</v>
      </c>
      <c r="K40" s="5">
        <v>208</v>
      </c>
      <c r="L40" s="5">
        <v>635024</v>
      </c>
      <c r="M40" s="7">
        <f t="shared" ref="M40:M71" si="3">IF(L40=0,0,L40/2589988.110336)</f>
        <v>0.24518413712625811</v>
      </c>
      <c r="N40" s="7">
        <f t="shared" ref="N40:N71" si="4">IF(L40=0,0,L40/1000000)</f>
        <v>0.63502400000000003</v>
      </c>
      <c r="O40" s="8">
        <f t="shared" ref="O40:O71" si="5">IF(M40=0,0,J40/M40)</f>
        <v>7965.4419037488478</v>
      </c>
      <c r="P40" s="10" t="s">
        <v>50</v>
      </c>
      <c r="Q40" s="10" t="s">
        <v>188</v>
      </c>
      <c r="R40" s="11" t="s">
        <v>189</v>
      </c>
      <c r="S40" s="10" t="s">
        <v>53</v>
      </c>
      <c r="T40" s="10" t="s">
        <v>41</v>
      </c>
      <c r="U40" s="10" t="s">
        <v>41</v>
      </c>
      <c r="V40" s="10" t="s">
        <v>43</v>
      </c>
      <c r="W40" s="10" t="s">
        <v>54</v>
      </c>
    </row>
    <row r="41" spans="1:23">
      <c r="A41" s="4" t="s">
        <v>190</v>
      </c>
      <c r="B41" s="5">
        <v>8</v>
      </c>
      <c r="C41" s="10" t="s">
        <v>191</v>
      </c>
      <c r="D41" s="10" t="s">
        <v>48</v>
      </c>
      <c r="E41" s="10" t="s">
        <v>34</v>
      </c>
      <c r="F41" s="10" t="s">
        <v>57</v>
      </c>
      <c r="G41" s="10" t="s">
        <v>106</v>
      </c>
      <c r="H41" s="6">
        <v>-14.2966894</v>
      </c>
      <c r="I41" s="6">
        <v>-170.67756460000001</v>
      </c>
      <c r="J41" s="5">
        <v>72</v>
      </c>
      <c r="K41" s="5">
        <v>5</v>
      </c>
      <c r="L41" s="5">
        <v>101073</v>
      </c>
      <c r="M41" s="7">
        <f t="shared" si="3"/>
        <v>3.9024503470360627E-2</v>
      </c>
      <c r="N41" s="7">
        <f t="shared" si="4"/>
        <v>0.101073</v>
      </c>
      <c r="O41" s="8">
        <f t="shared" si="5"/>
        <v>1844.9946468808882</v>
      </c>
      <c r="P41" s="10" t="s">
        <v>50</v>
      </c>
      <c r="Q41" s="10" t="s">
        <v>192</v>
      </c>
      <c r="R41" s="11" t="s">
        <v>193</v>
      </c>
      <c r="S41" s="10" t="s">
        <v>53</v>
      </c>
      <c r="T41" s="10" t="s">
        <v>41</v>
      </c>
      <c r="U41" s="10" t="s">
        <v>41</v>
      </c>
      <c r="V41" s="10" t="s">
        <v>43</v>
      </c>
      <c r="W41" s="10" t="s">
        <v>194</v>
      </c>
    </row>
    <row r="42" spans="1:23" ht="24">
      <c r="A42" s="4" t="s">
        <v>195</v>
      </c>
      <c r="B42" s="5">
        <v>10</v>
      </c>
      <c r="C42" s="10" t="s">
        <v>196</v>
      </c>
      <c r="D42" s="10" t="s">
        <v>197</v>
      </c>
      <c r="E42" s="10" t="s">
        <v>181</v>
      </c>
      <c r="F42" s="10" t="s">
        <v>182</v>
      </c>
      <c r="G42" s="10" t="s">
        <v>198</v>
      </c>
      <c r="H42" s="6">
        <v>-14.231195947288001</v>
      </c>
      <c r="I42" s="6">
        <v>-169.44496905848601</v>
      </c>
      <c r="J42" s="5">
        <v>213</v>
      </c>
      <c r="K42" s="5">
        <v>23</v>
      </c>
      <c r="L42" s="5">
        <v>22328163</v>
      </c>
      <c r="M42" s="7">
        <f t="shared" si="3"/>
        <v>8.620951930587573</v>
      </c>
      <c r="N42" s="7">
        <f t="shared" si="4"/>
        <v>22.328163</v>
      </c>
      <c r="O42" s="8">
        <f t="shared" si="5"/>
        <v>24.707248307958341</v>
      </c>
      <c r="P42" s="10" t="s">
        <v>37</v>
      </c>
      <c r="Q42" s="10" t="s">
        <v>199</v>
      </c>
      <c r="R42" s="11" t="s">
        <v>200</v>
      </c>
      <c r="S42" s="10" t="s">
        <v>40</v>
      </c>
      <c r="T42" s="10" t="s">
        <v>41</v>
      </c>
      <c r="U42" s="10" t="s">
        <v>42</v>
      </c>
      <c r="V42" s="10" t="s">
        <v>43</v>
      </c>
      <c r="W42" s="10" t="s">
        <v>201</v>
      </c>
    </row>
    <row r="43" spans="1:23">
      <c r="A43" s="4" t="s">
        <v>202</v>
      </c>
      <c r="B43" s="5">
        <v>35</v>
      </c>
      <c r="C43" s="10" t="s">
        <v>203</v>
      </c>
      <c r="D43" s="10" t="s">
        <v>33</v>
      </c>
      <c r="E43" s="10" t="s">
        <v>34</v>
      </c>
      <c r="F43" s="10" t="s">
        <v>35</v>
      </c>
      <c r="G43" s="10" t="s">
        <v>187</v>
      </c>
      <c r="H43" s="6">
        <v>-14.342779999999999</v>
      </c>
      <c r="I43" s="6">
        <v>-170.72221999999999</v>
      </c>
      <c r="J43" s="5">
        <v>3073</v>
      </c>
      <c r="K43" s="5">
        <v>277</v>
      </c>
      <c r="L43" s="5">
        <v>3592014</v>
      </c>
      <c r="M43" s="7">
        <f t="shared" si="3"/>
        <v>1.3868843589146851</v>
      </c>
      <c r="N43" s="7">
        <f t="shared" si="4"/>
        <v>3.5920139999999998</v>
      </c>
      <c r="O43" s="8">
        <f t="shared" si="5"/>
        <v>2215.7579182771915</v>
      </c>
      <c r="P43" s="10" t="s">
        <v>37</v>
      </c>
      <c r="Q43" s="10" t="s">
        <v>204</v>
      </c>
      <c r="R43" s="11" t="s">
        <v>205</v>
      </c>
      <c r="S43" s="10" t="s">
        <v>40</v>
      </c>
      <c r="T43" s="10" t="s">
        <v>41</v>
      </c>
      <c r="U43" s="10" t="s">
        <v>42</v>
      </c>
      <c r="V43" s="10" t="s">
        <v>43</v>
      </c>
      <c r="W43" s="10" t="s">
        <v>206</v>
      </c>
    </row>
    <row r="44" spans="1:23">
      <c r="A44" s="4" t="s">
        <v>207</v>
      </c>
      <c r="B44" s="5">
        <v>65</v>
      </c>
      <c r="C44" s="10" t="s">
        <v>208</v>
      </c>
      <c r="D44" s="10" t="s">
        <v>48</v>
      </c>
      <c r="E44" s="10" t="s">
        <v>34</v>
      </c>
      <c r="F44" s="10" t="s">
        <v>35</v>
      </c>
      <c r="G44" s="10" t="s">
        <v>209</v>
      </c>
      <c r="H44" s="6">
        <v>-14.361151899999999</v>
      </c>
      <c r="I44" s="6">
        <v>-170.75842420000001</v>
      </c>
      <c r="J44" s="5">
        <v>682</v>
      </c>
      <c r="K44" s="5">
        <v>64</v>
      </c>
      <c r="L44" s="5">
        <v>3481339</v>
      </c>
      <c r="M44" s="7">
        <f t="shared" si="3"/>
        <v>1.3441525025179999</v>
      </c>
      <c r="N44" s="7">
        <f t="shared" si="4"/>
        <v>3.4813390000000002</v>
      </c>
      <c r="O44" s="8">
        <f t="shared" si="5"/>
        <v>507.38290389104651</v>
      </c>
      <c r="P44" s="10" t="s">
        <v>50</v>
      </c>
      <c r="Q44" s="10" t="s">
        <v>210</v>
      </c>
      <c r="R44" s="11" t="s">
        <v>211</v>
      </c>
      <c r="S44" s="10" t="s">
        <v>53</v>
      </c>
      <c r="T44" s="10" t="s">
        <v>41</v>
      </c>
      <c r="U44" s="10" t="s">
        <v>41</v>
      </c>
      <c r="V44" s="10" t="s">
        <v>43</v>
      </c>
      <c r="W44" s="10" t="s">
        <v>54</v>
      </c>
    </row>
    <row r="45" spans="1:23">
      <c r="A45" s="4" t="s">
        <v>212</v>
      </c>
      <c r="B45" s="5">
        <v>11</v>
      </c>
      <c r="C45" s="10" t="s">
        <v>213</v>
      </c>
      <c r="D45" s="10" t="s">
        <v>33</v>
      </c>
      <c r="E45" s="10" t="s">
        <v>34</v>
      </c>
      <c r="F45" s="10" t="s">
        <v>57</v>
      </c>
      <c r="G45" s="10" t="s">
        <v>106</v>
      </c>
      <c r="H45" s="6">
        <v>-14.284020999999999</v>
      </c>
      <c r="I45" s="6">
        <v>-170.67705900000001</v>
      </c>
      <c r="J45" s="5">
        <v>479</v>
      </c>
      <c r="K45" s="5">
        <v>35</v>
      </c>
      <c r="L45" s="5">
        <v>861788</v>
      </c>
      <c r="M45" s="7">
        <f t="shared" si="3"/>
        <v>0.33273820700597728</v>
      </c>
      <c r="N45" s="7">
        <f t="shared" si="4"/>
        <v>0.861788</v>
      </c>
      <c r="O45" s="8">
        <f t="shared" si="5"/>
        <v>1439.5701783396196</v>
      </c>
      <c r="P45" s="10" t="s">
        <v>214</v>
      </c>
      <c r="Q45" s="10" t="s">
        <v>215</v>
      </c>
      <c r="R45" s="11" t="s">
        <v>216</v>
      </c>
      <c r="S45" s="10" t="s">
        <v>40</v>
      </c>
      <c r="T45" s="10" t="s">
        <v>41</v>
      </c>
      <c r="U45" s="10" t="s">
        <v>217</v>
      </c>
      <c r="V45" s="10" t="s">
        <v>43</v>
      </c>
      <c r="W45" s="10" t="s">
        <v>218</v>
      </c>
    </row>
    <row r="46" spans="1:23" ht="24">
      <c r="A46" s="4" t="s">
        <v>219</v>
      </c>
      <c r="B46" s="5">
        <v>357</v>
      </c>
      <c r="C46" s="10" t="s">
        <v>203</v>
      </c>
      <c r="D46" s="10" t="s">
        <v>220</v>
      </c>
      <c r="E46" s="10" t="s">
        <v>34</v>
      </c>
      <c r="F46" s="10" t="s">
        <v>35</v>
      </c>
      <c r="G46" s="10" t="s">
        <v>187</v>
      </c>
      <c r="H46" s="6">
        <v>-14.3454917</v>
      </c>
      <c r="I46" s="6">
        <v>-170.72390899999999</v>
      </c>
      <c r="J46" s="5">
        <v>3073</v>
      </c>
      <c r="K46" s="5">
        <v>277</v>
      </c>
      <c r="L46" s="5">
        <v>3592014</v>
      </c>
      <c r="M46" s="7">
        <f t="shared" si="3"/>
        <v>1.3868843589146851</v>
      </c>
      <c r="N46" s="7">
        <f t="shared" si="4"/>
        <v>3.5920139999999998</v>
      </c>
      <c r="O46" s="8">
        <f t="shared" si="5"/>
        <v>2215.7579182771915</v>
      </c>
      <c r="P46" s="10" t="s">
        <v>50</v>
      </c>
      <c r="Q46" s="10" t="s">
        <v>204</v>
      </c>
      <c r="R46" s="11" t="s">
        <v>205</v>
      </c>
      <c r="S46" s="10" t="s">
        <v>40</v>
      </c>
      <c r="T46" s="10" t="s">
        <v>41</v>
      </c>
      <c r="U46" s="10" t="s">
        <v>41</v>
      </c>
      <c r="V46" s="10" t="s">
        <v>43</v>
      </c>
      <c r="W46" s="10" t="s">
        <v>221</v>
      </c>
    </row>
    <row r="47" spans="1:23">
      <c r="A47" s="4" t="s">
        <v>222</v>
      </c>
      <c r="B47" s="5">
        <v>7</v>
      </c>
      <c r="C47" s="10" t="s">
        <v>146</v>
      </c>
      <c r="D47" s="10" t="s">
        <v>33</v>
      </c>
      <c r="E47" s="10" t="s">
        <v>34</v>
      </c>
      <c r="F47" s="10" t="s">
        <v>136</v>
      </c>
      <c r="G47" s="10" t="s">
        <v>137</v>
      </c>
      <c r="H47" s="6">
        <v>-14.3361272</v>
      </c>
      <c r="I47" s="6">
        <v>-170.71558590000001</v>
      </c>
      <c r="J47" s="5">
        <v>7988</v>
      </c>
      <c r="K47" s="5">
        <v>680</v>
      </c>
      <c r="L47" s="5">
        <v>6417913</v>
      </c>
      <c r="M47" s="7">
        <f t="shared" si="3"/>
        <v>2.477970062637624</v>
      </c>
      <c r="N47" s="7">
        <f t="shared" si="4"/>
        <v>6.4179130000000004</v>
      </c>
      <c r="O47" s="8">
        <f t="shared" si="5"/>
        <v>3223.606338285354</v>
      </c>
      <c r="P47" s="10" t="s">
        <v>223</v>
      </c>
      <c r="Q47" s="10" t="s">
        <v>147</v>
      </c>
      <c r="R47" s="11" t="s">
        <v>148</v>
      </c>
      <c r="S47" s="10" t="s">
        <v>40</v>
      </c>
      <c r="T47" s="10" t="s">
        <v>41</v>
      </c>
      <c r="U47" s="10" t="s">
        <v>41</v>
      </c>
      <c r="V47" s="10" t="s">
        <v>43</v>
      </c>
      <c r="W47" s="10" t="s">
        <v>224</v>
      </c>
    </row>
    <row r="48" spans="1:23">
      <c r="A48" s="4" t="s">
        <v>225</v>
      </c>
      <c r="B48" s="5">
        <v>94</v>
      </c>
      <c r="C48" s="10" t="s">
        <v>226</v>
      </c>
      <c r="D48" s="10" t="s">
        <v>33</v>
      </c>
      <c r="E48" s="10" t="s">
        <v>34</v>
      </c>
      <c r="F48" s="10" t="s">
        <v>57</v>
      </c>
      <c r="G48" s="10" t="s">
        <v>58</v>
      </c>
      <c r="H48" s="6">
        <v>-14.293609999999999</v>
      </c>
      <c r="I48" s="6">
        <v>-170.65889000000001</v>
      </c>
      <c r="J48" s="5">
        <v>736</v>
      </c>
      <c r="K48" s="5">
        <v>63</v>
      </c>
      <c r="L48" s="5">
        <v>1344715</v>
      </c>
      <c r="M48" s="7">
        <f t="shared" si="3"/>
        <v>0.51919736412440509</v>
      </c>
      <c r="N48" s="7">
        <f t="shared" si="4"/>
        <v>1.3447150000000001</v>
      </c>
      <c r="O48" s="8">
        <f t="shared" si="5"/>
        <v>1417.5726820979137</v>
      </c>
      <c r="P48" s="10" t="s">
        <v>37</v>
      </c>
      <c r="Q48" s="10" t="s">
        <v>227</v>
      </c>
      <c r="R48" s="11" t="s">
        <v>228</v>
      </c>
      <c r="S48" s="10" t="s">
        <v>40</v>
      </c>
      <c r="T48" s="10" t="s">
        <v>41</v>
      </c>
      <c r="U48" s="10" t="s">
        <v>42</v>
      </c>
      <c r="V48" s="10" t="s">
        <v>43</v>
      </c>
      <c r="W48" s="10" t="s">
        <v>229</v>
      </c>
    </row>
    <row r="49" spans="1:23">
      <c r="A49" s="4" t="s">
        <v>230</v>
      </c>
      <c r="B49" s="5">
        <v>19</v>
      </c>
      <c r="C49" s="10" t="s">
        <v>226</v>
      </c>
      <c r="D49" s="10" t="s">
        <v>33</v>
      </c>
      <c r="E49" s="10" t="s">
        <v>34</v>
      </c>
      <c r="F49" s="10" t="s">
        <v>57</v>
      </c>
      <c r="G49" s="10" t="s">
        <v>58</v>
      </c>
      <c r="H49" s="6">
        <v>-14.29167</v>
      </c>
      <c r="I49" s="6">
        <v>-170.65278000000001</v>
      </c>
      <c r="J49" s="5">
        <v>736</v>
      </c>
      <c r="K49" s="5">
        <v>63</v>
      </c>
      <c r="L49" s="5">
        <v>1344715</v>
      </c>
      <c r="M49" s="7">
        <f t="shared" si="3"/>
        <v>0.51919736412440509</v>
      </c>
      <c r="N49" s="7">
        <f t="shared" si="4"/>
        <v>1.3447150000000001</v>
      </c>
      <c r="O49" s="8">
        <f t="shared" si="5"/>
        <v>1417.5726820979137</v>
      </c>
      <c r="P49" s="10" t="s">
        <v>37</v>
      </c>
      <c r="Q49" s="10" t="s">
        <v>227</v>
      </c>
      <c r="R49" s="11" t="s">
        <v>228</v>
      </c>
      <c r="S49" s="10" t="s">
        <v>40</v>
      </c>
      <c r="T49" s="10" t="s">
        <v>41</v>
      </c>
      <c r="U49" s="10" t="s">
        <v>42</v>
      </c>
      <c r="V49" s="10" t="s">
        <v>43</v>
      </c>
      <c r="W49" s="10" t="s">
        <v>229</v>
      </c>
    </row>
    <row r="50" spans="1:23">
      <c r="A50" s="4" t="s">
        <v>231</v>
      </c>
      <c r="B50" s="5">
        <v>56</v>
      </c>
      <c r="C50" s="10" t="s">
        <v>232</v>
      </c>
      <c r="D50" s="10" t="s">
        <v>48</v>
      </c>
      <c r="E50" s="10" t="s">
        <v>34</v>
      </c>
      <c r="F50" s="10" t="s">
        <v>57</v>
      </c>
      <c r="G50" s="10" t="s">
        <v>106</v>
      </c>
      <c r="H50" s="6">
        <v>-14.2682603</v>
      </c>
      <c r="I50" s="6">
        <v>-170.67564949999999</v>
      </c>
      <c r="J50" s="5">
        <v>365</v>
      </c>
      <c r="K50" s="5">
        <v>32</v>
      </c>
      <c r="L50" s="5">
        <v>873914</v>
      </c>
      <c r="M50" s="7">
        <f t="shared" si="3"/>
        <v>0.33742008178046301</v>
      </c>
      <c r="N50" s="7">
        <f t="shared" si="4"/>
        <v>0.87391399999999997</v>
      </c>
      <c r="O50" s="8">
        <f t="shared" si="5"/>
        <v>1081.7376312459121</v>
      </c>
      <c r="P50" s="10" t="s">
        <v>50</v>
      </c>
      <c r="Q50" s="10" t="s">
        <v>233</v>
      </c>
      <c r="R50" s="11" t="s">
        <v>234</v>
      </c>
      <c r="S50" s="10" t="s">
        <v>53</v>
      </c>
      <c r="T50" s="10" t="s">
        <v>41</v>
      </c>
      <c r="U50" s="10" t="s">
        <v>41</v>
      </c>
      <c r="V50" s="10" t="s">
        <v>43</v>
      </c>
      <c r="W50" s="10" t="s">
        <v>54</v>
      </c>
    </row>
    <row r="51" spans="1:23">
      <c r="A51" s="4" t="s">
        <v>235</v>
      </c>
      <c r="B51" s="5">
        <v>381</v>
      </c>
      <c r="C51" s="10" t="s">
        <v>236</v>
      </c>
      <c r="D51" s="10" t="s">
        <v>48</v>
      </c>
      <c r="E51" s="10" t="s">
        <v>34</v>
      </c>
      <c r="F51" s="10" t="s">
        <v>35</v>
      </c>
      <c r="G51" s="10" t="s">
        <v>49</v>
      </c>
      <c r="H51" s="6">
        <v>-14.333929299999999</v>
      </c>
      <c r="I51" s="6">
        <v>-170.7801</v>
      </c>
      <c r="J51" s="5">
        <v>1598</v>
      </c>
      <c r="K51" s="5">
        <v>130</v>
      </c>
      <c r="L51" s="5">
        <v>3863226</v>
      </c>
      <c r="M51" s="7">
        <f t="shared" si="3"/>
        <v>1.4915998975372988</v>
      </c>
      <c r="N51" s="7">
        <f t="shared" si="4"/>
        <v>3.863226</v>
      </c>
      <c r="O51" s="8">
        <f t="shared" si="5"/>
        <v>1071.3328705897425</v>
      </c>
      <c r="P51" s="10" t="s">
        <v>50</v>
      </c>
      <c r="Q51" s="10" t="s">
        <v>237</v>
      </c>
      <c r="R51" s="11" t="s">
        <v>238</v>
      </c>
      <c r="S51" s="10" t="s">
        <v>53</v>
      </c>
      <c r="T51" s="10" t="s">
        <v>41</v>
      </c>
      <c r="U51" s="10" t="s">
        <v>41</v>
      </c>
      <c r="V51" s="10" t="s">
        <v>43</v>
      </c>
      <c r="W51" s="10" t="s">
        <v>54</v>
      </c>
    </row>
    <row r="52" spans="1:23" ht="24">
      <c r="A52" s="4" t="s">
        <v>239</v>
      </c>
      <c r="B52" s="5">
        <v>3</v>
      </c>
      <c r="C52" s="10" t="s">
        <v>232</v>
      </c>
      <c r="D52" s="10" t="s">
        <v>33</v>
      </c>
      <c r="E52" s="10" t="s">
        <v>34</v>
      </c>
      <c r="F52" s="10" t="s">
        <v>57</v>
      </c>
      <c r="G52" s="10" t="s">
        <v>106</v>
      </c>
      <c r="H52" s="6">
        <v>-14.2682603</v>
      </c>
      <c r="I52" s="6">
        <v>-170.67564949999999</v>
      </c>
      <c r="J52" s="5">
        <v>365</v>
      </c>
      <c r="K52" s="5">
        <v>32</v>
      </c>
      <c r="L52" s="5">
        <v>873914</v>
      </c>
      <c r="M52" s="7">
        <f t="shared" si="3"/>
        <v>0.33742008178046301</v>
      </c>
      <c r="N52" s="7">
        <f t="shared" si="4"/>
        <v>0.87391399999999997</v>
      </c>
      <c r="O52" s="8">
        <f t="shared" si="5"/>
        <v>1081.7376312459121</v>
      </c>
      <c r="P52" s="10" t="s">
        <v>223</v>
      </c>
      <c r="Q52" s="10" t="s">
        <v>233</v>
      </c>
      <c r="R52" s="11" t="s">
        <v>234</v>
      </c>
      <c r="S52" s="10" t="s">
        <v>40</v>
      </c>
      <c r="T52" s="10" t="s">
        <v>41</v>
      </c>
      <c r="U52" s="10" t="s">
        <v>41</v>
      </c>
      <c r="V52" s="10" t="s">
        <v>43</v>
      </c>
      <c r="W52" s="10" t="s">
        <v>240</v>
      </c>
    </row>
    <row r="53" spans="1:23">
      <c r="A53" s="4" t="s">
        <v>241</v>
      </c>
      <c r="B53" s="5">
        <v>115</v>
      </c>
      <c r="C53" s="10" t="s">
        <v>242</v>
      </c>
      <c r="D53" s="10" t="s">
        <v>48</v>
      </c>
      <c r="E53" s="10" t="s">
        <v>34</v>
      </c>
      <c r="F53" s="10" t="s">
        <v>35</v>
      </c>
      <c r="G53" s="10" t="s">
        <v>187</v>
      </c>
      <c r="H53" s="6">
        <v>-14.3114589</v>
      </c>
      <c r="I53" s="6">
        <v>-170.73649409999999</v>
      </c>
      <c r="J53" s="5">
        <v>1046</v>
      </c>
      <c r="K53" s="5">
        <v>94</v>
      </c>
      <c r="L53" s="5">
        <v>3880762</v>
      </c>
      <c r="M53" s="7">
        <f t="shared" si="3"/>
        <v>1.4983705849894993</v>
      </c>
      <c r="N53" s="7">
        <f t="shared" si="4"/>
        <v>3.8807619999999998</v>
      </c>
      <c r="O53" s="8">
        <f t="shared" si="5"/>
        <v>698.09165401316955</v>
      </c>
      <c r="P53" s="10" t="s">
        <v>50</v>
      </c>
      <c r="Q53" s="10" t="s">
        <v>243</v>
      </c>
      <c r="R53" s="11" t="s">
        <v>244</v>
      </c>
      <c r="S53" s="10" t="s">
        <v>53</v>
      </c>
      <c r="T53" s="10" t="s">
        <v>41</v>
      </c>
      <c r="U53" s="10" t="s">
        <v>41</v>
      </c>
      <c r="V53" s="10" t="s">
        <v>43</v>
      </c>
      <c r="W53" s="10" t="s">
        <v>54</v>
      </c>
    </row>
    <row r="54" spans="1:23">
      <c r="A54" s="4" t="s">
        <v>245</v>
      </c>
      <c r="B54" s="5">
        <v>147</v>
      </c>
      <c r="C54" s="10" t="s">
        <v>246</v>
      </c>
      <c r="D54" s="10" t="s">
        <v>197</v>
      </c>
      <c r="E54" s="10" t="s">
        <v>34</v>
      </c>
      <c r="F54" s="10" t="s">
        <v>35</v>
      </c>
      <c r="G54" s="10" t="s">
        <v>247</v>
      </c>
      <c r="H54" s="6">
        <v>-14.34417</v>
      </c>
      <c r="I54" s="6">
        <v>-170.76722000000001</v>
      </c>
      <c r="J54" s="5">
        <v>1038</v>
      </c>
      <c r="K54" s="5">
        <v>109</v>
      </c>
      <c r="L54" s="5">
        <v>4198842</v>
      </c>
      <c r="M54" s="7">
        <f t="shared" si="3"/>
        <v>1.6211819595786803</v>
      </c>
      <c r="N54" s="7">
        <f t="shared" si="4"/>
        <v>4.198842</v>
      </c>
      <c r="O54" s="8">
        <f t="shared" si="5"/>
        <v>640.27359413113618</v>
      </c>
      <c r="P54" s="10" t="s">
        <v>37</v>
      </c>
      <c r="Q54" s="10" t="s">
        <v>199</v>
      </c>
      <c r="R54" s="11" t="s">
        <v>248</v>
      </c>
      <c r="S54" s="10" t="s">
        <v>40</v>
      </c>
      <c r="T54" s="10" t="s">
        <v>41</v>
      </c>
      <c r="U54" s="10" t="s">
        <v>42</v>
      </c>
      <c r="V54" s="10" t="s">
        <v>43</v>
      </c>
      <c r="W54" s="10" t="s">
        <v>249</v>
      </c>
    </row>
    <row r="55" spans="1:23">
      <c r="A55" s="4" t="s">
        <v>250</v>
      </c>
      <c r="B55" s="5">
        <v>1</v>
      </c>
      <c r="C55" s="10" t="s">
        <v>251</v>
      </c>
      <c r="D55" s="10" t="s">
        <v>48</v>
      </c>
      <c r="E55" s="10" t="s">
        <v>34</v>
      </c>
      <c r="F55" s="10" t="s">
        <v>35</v>
      </c>
      <c r="G55" s="10" t="s">
        <v>49</v>
      </c>
      <c r="H55" s="6">
        <v>-14.309612</v>
      </c>
      <c r="I55" s="6">
        <v>-170.81041970000001</v>
      </c>
      <c r="J55" s="5">
        <v>6</v>
      </c>
      <c r="K55" s="5">
        <v>0</v>
      </c>
      <c r="L55" s="5">
        <v>3101807</v>
      </c>
      <c r="M55" s="7">
        <f t="shared" si="3"/>
        <v>1.1976143780820683</v>
      </c>
      <c r="N55" s="7">
        <f t="shared" si="4"/>
        <v>3.101807</v>
      </c>
      <c r="O55" s="8">
        <f t="shared" si="5"/>
        <v>5.0099598917714738</v>
      </c>
      <c r="P55" s="10" t="s">
        <v>50</v>
      </c>
      <c r="Q55" s="10" t="s">
        <v>252</v>
      </c>
      <c r="R55" s="11" t="s">
        <v>253</v>
      </c>
      <c r="S55" s="10" t="s">
        <v>53</v>
      </c>
      <c r="T55" s="10" t="s">
        <v>41</v>
      </c>
      <c r="U55" s="10" t="s">
        <v>41</v>
      </c>
      <c r="V55" s="10" t="s">
        <v>43</v>
      </c>
      <c r="W55" s="10" t="s">
        <v>254</v>
      </c>
    </row>
    <row r="56" spans="1:23" ht="24">
      <c r="A56" s="4" t="s">
        <v>255</v>
      </c>
      <c r="B56" s="5">
        <v>193</v>
      </c>
      <c r="C56" s="10" t="s">
        <v>256</v>
      </c>
      <c r="D56" s="10" t="s">
        <v>220</v>
      </c>
      <c r="E56" s="10" t="s">
        <v>34</v>
      </c>
      <c r="F56" s="10" t="s">
        <v>35</v>
      </c>
      <c r="G56" s="10" t="s">
        <v>187</v>
      </c>
      <c r="H56" s="6">
        <v>-14.33</v>
      </c>
      <c r="I56" s="6">
        <v>-170.74388999999999</v>
      </c>
      <c r="J56" s="5">
        <v>1772</v>
      </c>
      <c r="K56" s="5">
        <v>211</v>
      </c>
      <c r="L56" s="5">
        <v>2064469</v>
      </c>
      <c r="M56" s="7">
        <f t="shared" si="3"/>
        <v>0.79709593714396465</v>
      </c>
      <c r="N56" s="7">
        <f t="shared" si="4"/>
        <v>2.0644689999999999</v>
      </c>
      <c r="O56" s="8">
        <f t="shared" si="5"/>
        <v>2223.0699184707505</v>
      </c>
      <c r="P56" s="10" t="s">
        <v>37</v>
      </c>
      <c r="Q56" s="10" t="s">
        <v>257</v>
      </c>
      <c r="R56" s="11" t="s">
        <v>258</v>
      </c>
      <c r="S56" s="10" t="s">
        <v>40</v>
      </c>
      <c r="T56" s="10" t="s">
        <v>41</v>
      </c>
      <c r="U56" s="10" t="s">
        <v>42</v>
      </c>
      <c r="V56" s="10" t="s">
        <v>43</v>
      </c>
      <c r="W56" s="10" t="s">
        <v>259</v>
      </c>
    </row>
    <row r="57" spans="1:23">
      <c r="A57" s="4" t="s">
        <v>260</v>
      </c>
      <c r="B57" s="5">
        <v>9</v>
      </c>
      <c r="C57" s="10" t="s">
        <v>261</v>
      </c>
      <c r="D57" s="10" t="s">
        <v>48</v>
      </c>
      <c r="E57" s="10" t="s">
        <v>34</v>
      </c>
      <c r="F57" s="10" t="s">
        <v>57</v>
      </c>
      <c r="G57" s="10" t="s">
        <v>58</v>
      </c>
      <c r="H57" s="6">
        <v>-14.255664299999999</v>
      </c>
      <c r="I57" s="6">
        <v>-170.6133749</v>
      </c>
      <c r="J57" s="5">
        <v>134</v>
      </c>
      <c r="K57" s="5">
        <v>11</v>
      </c>
      <c r="L57" s="5">
        <v>951537</v>
      </c>
      <c r="M57" s="7">
        <f t="shared" si="3"/>
        <v>0.3673904896330033</v>
      </c>
      <c r="N57" s="7">
        <f t="shared" si="4"/>
        <v>0.95153699999999997</v>
      </c>
      <c r="O57" s="8">
        <f t="shared" si="5"/>
        <v>364.73453663391331</v>
      </c>
      <c r="P57" s="10" t="s">
        <v>50</v>
      </c>
      <c r="Q57" s="10" t="s">
        <v>262</v>
      </c>
      <c r="R57" s="11" t="s">
        <v>263</v>
      </c>
      <c r="S57" s="10" t="s">
        <v>53</v>
      </c>
      <c r="T57" s="10" t="s">
        <v>41</v>
      </c>
      <c r="U57" s="10" t="s">
        <v>41</v>
      </c>
      <c r="V57" s="10" t="s">
        <v>43</v>
      </c>
      <c r="W57" s="10" t="s">
        <v>54</v>
      </c>
    </row>
    <row r="58" spans="1:23">
      <c r="A58" s="4" t="s">
        <v>264</v>
      </c>
      <c r="B58" s="5">
        <v>24</v>
      </c>
      <c r="C58" s="10" t="s">
        <v>265</v>
      </c>
      <c r="D58" s="10" t="s">
        <v>48</v>
      </c>
      <c r="E58" s="10" t="s">
        <v>34</v>
      </c>
      <c r="F58" s="10" t="s">
        <v>57</v>
      </c>
      <c r="G58" s="10" t="s">
        <v>58</v>
      </c>
      <c r="H58" s="6">
        <v>-14.2498074</v>
      </c>
      <c r="I58" s="6">
        <v>-170.6232651</v>
      </c>
      <c r="J58" s="5">
        <v>260</v>
      </c>
      <c r="K58" s="5">
        <v>14</v>
      </c>
      <c r="L58" s="5">
        <v>4231359</v>
      </c>
      <c r="M58" s="7">
        <f t="shared" si="3"/>
        <v>1.6337368434680051</v>
      </c>
      <c r="N58" s="7">
        <f t="shared" si="4"/>
        <v>4.2313590000000003</v>
      </c>
      <c r="O58" s="8">
        <f t="shared" si="5"/>
        <v>159.14435732996421</v>
      </c>
      <c r="P58" s="10" t="s">
        <v>50</v>
      </c>
      <c r="Q58" s="10" t="s">
        <v>266</v>
      </c>
      <c r="R58" s="11" t="s">
        <v>267</v>
      </c>
      <c r="S58" s="10" t="s">
        <v>53</v>
      </c>
      <c r="T58" s="10" t="s">
        <v>41</v>
      </c>
      <c r="U58" s="10" t="s">
        <v>41</v>
      </c>
      <c r="V58" s="10" t="s">
        <v>43</v>
      </c>
      <c r="W58" s="10" t="s">
        <v>54</v>
      </c>
    </row>
    <row r="59" spans="1:23">
      <c r="A59" s="4" t="s">
        <v>268</v>
      </c>
      <c r="B59" s="5">
        <v>39</v>
      </c>
      <c r="C59" s="10" t="s">
        <v>269</v>
      </c>
      <c r="D59" s="10" t="s">
        <v>48</v>
      </c>
      <c r="E59" s="10" t="s">
        <v>34</v>
      </c>
      <c r="F59" s="10" t="s">
        <v>57</v>
      </c>
      <c r="G59" s="10" t="s">
        <v>164</v>
      </c>
      <c r="H59" s="6">
        <v>-14.2999405</v>
      </c>
      <c r="I59" s="6">
        <v>-170.68019799999999</v>
      </c>
      <c r="J59" s="5">
        <v>317</v>
      </c>
      <c r="K59" s="5">
        <v>35</v>
      </c>
      <c r="L59" s="5">
        <v>1202736</v>
      </c>
      <c r="M59" s="7">
        <f t="shared" si="3"/>
        <v>0.46437896575670712</v>
      </c>
      <c r="N59" s="7">
        <f t="shared" si="4"/>
        <v>1.202736</v>
      </c>
      <c r="O59" s="8">
        <f t="shared" si="5"/>
        <v>682.63212456974099</v>
      </c>
      <c r="P59" s="10" t="s">
        <v>50</v>
      </c>
      <c r="Q59" s="10" t="s">
        <v>270</v>
      </c>
      <c r="R59" s="11" t="s">
        <v>271</v>
      </c>
      <c r="S59" s="10" t="s">
        <v>53</v>
      </c>
      <c r="T59" s="10" t="s">
        <v>41</v>
      </c>
      <c r="U59" s="10" t="s">
        <v>41</v>
      </c>
      <c r="V59" s="10" t="s">
        <v>43</v>
      </c>
      <c r="W59" s="10" t="s">
        <v>54</v>
      </c>
    </row>
    <row r="60" spans="1:23">
      <c r="A60" s="4" t="s">
        <v>272</v>
      </c>
      <c r="B60" s="5">
        <v>112</v>
      </c>
      <c r="C60" s="10" t="s">
        <v>273</v>
      </c>
      <c r="D60" s="10" t="s">
        <v>48</v>
      </c>
      <c r="E60" s="10" t="s">
        <v>34</v>
      </c>
      <c r="F60" s="10" t="s">
        <v>35</v>
      </c>
      <c r="G60" s="10" t="s">
        <v>187</v>
      </c>
      <c r="H60" s="6">
        <v>-14.3227548</v>
      </c>
      <c r="I60" s="6">
        <v>-170.7470017</v>
      </c>
      <c r="J60" s="5">
        <v>415</v>
      </c>
      <c r="K60" s="5">
        <v>56</v>
      </c>
      <c r="L60" s="5">
        <v>280377</v>
      </c>
      <c r="M60" s="7">
        <f t="shared" si="3"/>
        <v>0.10825416490565533</v>
      </c>
      <c r="N60" s="7">
        <f t="shared" si="4"/>
        <v>0.28037699999999999</v>
      </c>
      <c r="O60" s="8">
        <f t="shared" si="5"/>
        <v>3833.570748632877</v>
      </c>
      <c r="P60" s="10" t="s">
        <v>50</v>
      </c>
      <c r="Q60" s="10" t="s">
        <v>274</v>
      </c>
      <c r="R60" s="11" t="s">
        <v>275</v>
      </c>
      <c r="S60" s="10" t="s">
        <v>53</v>
      </c>
      <c r="T60" s="10" t="s">
        <v>41</v>
      </c>
      <c r="U60" s="10" t="s">
        <v>41</v>
      </c>
      <c r="V60" s="10" t="s">
        <v>43</v>
      </c>
      <c r="W60" s="10" t="s">
        <v>54</v>
      </c>
    </row>
    <row r="61" spans="1:23">
      <c r="A61" s="4" t="s">
        <v>276</v>
      </c>
      <c r="B61" s="5">
        <v>14</v>
      </c>
      <c r="C61" s="10" t="s">
        <v>277</v>
      </c>
      <c r="D61" s="10" t="s">
        <v>48</v>
      </c>
      <c r="E61" s="10" t="s">
        <v>34</v>
      </c>
      <c r="F61" s="10" t="s">
        <v>35</v>
      </c>
      <c r="G61" s="10" t="s">
        <v>49</v>
      </c>
      <c r="H61" s="6">
        <v>-14.329782399999999</v>
      </c>
      <c r="I61" s="6">
        <v>-170.80604779999999</v>
      </c>
      <c r="J61" s="5">
        <v>150</v>
      </c>
      <c r="K61" s="5">
        <v>13</v>
      </c>
      <c r="L61" s="5">
        <v>956582</v>
      </c>
      <c r="M61" s="7">
        <f t="shared" si="3"/>
        <v>0.36933837502284994</v>
      </c>
      <c r="N61" s="7">
        <f t="shared" si="4"/>
        <v>0.95658200000000004</v>
      </c>
      <c r="O61" s="8">
        <f t="shared" si="5"/>
        <v>406.13164010027367</v>
      </c>
      <c r="P61" s="10" t="s">
        <v>50</v>
      </c>
      <c r="Q61" s="10" t="s">
        <v>278</v>
      </c>
      <c r="R61" s="11" t="s">
        <v>279</v>
      </c>
      <c r="S61" s="10" t="s">
        <v>53</v>
      </c>
      <c r="T61" s="10" t="s">
        <v>41</v>
      </c>
      <c r="U61" s="10" t="s">
        <v>41</v>
      </c>
      <c r="V61" s="10" t="s">
        <v>43</v>
      </c>
      <c r="W61" s="10" t="s">
        <v>54</v>
      </c>
    </row>
    <row r="62" spans="1:23">
      <c r="A62" s="4" t="s">
        <v>280</v>
      </c>
      <c r="B62" s="5">
        <v>667</v>
      </c>
      <c r="C62" s="10" t="s">
        <v>135</v>
      </c>
      <c r="D62" s="10" t="s">
        <v>48</v>
      </c>
      <c r="E62" s="10" t="s">
        <v>34</v>
      </c>
      <c r="F62" s="10" t="s">
        <v>136</v>
      </c>
      <c r="G62" s="10" t="s">
        <v>137</v>
      </c>
      <c r="H62" s="6">
        <v>-14.315627900000001</v>
      </c>
      <c r="I62" s="6">
        <v>-170.7005422</v>
      </c>
      <c r="J62" s="5">
        <v>4991</v>
      </c>
      <c r="K62" s="5">
        <v>488</v>
      </c>
      <c r="L62" s="5">
        <v>7619237</v>
      </c>
      <c r="M62" s="7">
        <f t="shared" si="3"/>
        <v>2.9418038521464696</v>
      </c>
      <c r="N62" s="7">
        <f t="shared" si="4"/>
        <v>7.619237</v>
      </c>
      <c r="O62" s="8">
        <f t="shared" si="5"/>
        <v>1696.5781033831834</v>
      </c>
      <c r="P62" s="10" t="s">
        <v>50</v>
      </c>
      <c r="Q62" s="10" t="s">
        <v>138</v>
      </c>
      <c r="R62" s="11" t="s">
        <v>139</v>
      </c>
      <c r="S62" s="10" t="s">
        <v>53</v>
      </c>
      <c r="T62" s="10" t="s">
        <v>41</v>
      </c>
      <c r="U62" s="10" t="s">
        <v>41</v>
      </c>
      <c r="V62" s="10" t="s">
        <v>43</v>
      </c>
      <c r="W62" s="10" t="s">
        <v>54</v>
      </c>
    </row>
    <row r="63" spans="1:23">
      <c r="A63" s="4" t="s">
        <v>281</v>
      </c>
      <c r="B63" s="5">
        <v>10</v>
      </c>
      <c r="C63" s="10" t="s">
        <v>282</v>
      </c>
      <c r="D63" s="10" t="s">
        <v>48</v>
      </c>
      <c r="E63" s="10" t="s">
        <v>283</v>
      </c>
      <c r="F63" s="10" t="s">
        <v>182</v>
      </c>
      <c r="G63" s="10" t="s">
        <v>282</v>
      </c>
      <c r="H63" s="6">
        <v>-14.168521800000001</v>
      </c>
      <c r="I63" s="6">
        <v>-169.67420229999999</v>
      </c>
      <c r="J63" s="5">
        <v>132</v>
      </c>
      <c r="K63" s="5">
        <v>16</v>
      </c>
      <c r="L63" s="5">
        <v>7310058</v>
      </c>
      <c r="M63" s="7">
        <f t="shared" si="3"/>
        <v>2.8224291728704745</v>
      </c>
      <c r="N63" s="7">
        <f t="shared" si="4"/>
        <v>7.3100579999999997</v>
      </c>
      <c r="O63" s="8">
        <f t="shared" si="5"/>
        <v>46.768224077613617</v>
      </c>
      <c r="P63" s="10" t="s">
        <v>50</v>
      </c>
      <c r="Q63" s="10" t="s">
        <v>284</v>
      </c>
      <c r="R63" s="11" t="s">
        <v>285</v>
      </c>
      <c r="S63" s="10" t="s">
        <v>53</v>
      </c>
      <c r="T63" s="10" t="s">
        <v>41</v>
      </c>
      <c r="U63" s="10" t="s">
        <v>41</v>
      </c>
      <c r="V63" s="10" t="s">
        <v>43</v>
      </c>
      <c r="W63" s="10" t="s">
        <v>54</v>
      </c>
    </row>
    <row r="64" spans="1:23">
      <c r="A64" s="4" t="s">
        <v>286</v>
      </c>
      <c r="B64" s="5">
        <v>13</v>
      </c>
      <c r="C64" s="10" t="s">
        <v>287</v>
      </c>
      <c r="D64" s="10" t="s">
        <v>48</v>
      </c>
      <c r="E64" s="10" t="s">
        <v>288</v>
      </c>
      <c r="F64" s="10" t="s">
        <v>182</v>
      </c>
      <c r="G64" s="10" t="s">
        <v>287</v>
      </c>
      <c r="H64" s="6">
        <v>-14.183798400000001</v>
      </c>
      <c r="I64" s="6">
        <v>-169.61436269999999</v>
      </c>
      <c r="J64" s="5">
        <v>138</v>
      </c>
      <c r="K64" s="5">
        <v>14</v>
      </c>
      <c r="L64" s="5">
        <v>3134083</v>
      </c>
      <c r="M64" s="7">
        <f t="shared" si="3"/>
        <v>1.2100762113511843</v>
      </c>
      <c r="N64" s="7">
        <f t="shared" si="4"/>
        <v>3.134083</v>
      </c>
      <c r="O64" s="8">
        <f t="shared" si="5"/>
        <v>114.04240386306553</v>
      </c>
      <c r="P64" s="10" t="s">
        <v>50</v>
      </c>
      <c r="Q64" s="10" t="s">
        <v>289</v>
      </c>
      <c r="R64" s="11" t="s">
        <v>290</v>
      </c>
      <c r="S64" s="10" t="s">
        <v>53</v>
      </c>
      <c r="T64" s="10" t="s">
        <v>41</v>
      </c>
      <c r="U64" s="10" t="s">
        <v>41</v>
      </c>
      <c r="V64" s="10" t="s">
        <v>43</v>
      </c>
      <c r="W64" s="10" t="s">
        <v>54</v>
      </c>
    </row>
    <row r="65" spans="1:23">
      <c r="A65" s="4" t="s">
        <v>291</v>
      </c>
      <c r="B65" s="5">
        <v>16</v>
      </c>
      <c r="C65" s="10" t="s">
        <v>292</v>
      </c>
      <c r="D65" s="10" t="s">
        <v>48</v>
      </c>
      <c r="E65" s="10" t="s">
        <v>34</v>
      </c>
      <c r="F65" s="10" t="s">
        <v>57</v>
      </c>
      <c r="G65" s="10" t="s">
        <v>63</v>
      </c>
      <c r="H65" s="6">
        <v>-14.248007100000001</v>
      </c>
      <c r="I65" s="6">
        <v>-170.57750870000001</v>
      </c>
      <c r="J65" s="5">
        <v>100</v>
      </c>
      <c r="K65" s="5">
        <v>6</v>
      </c>
      <c r="L65" s="5">
        <v>1014990</v>
      </c>
      <c r="M65" s="7">
        <f t="shared" si="3"/>
        <v>0.39188982989899712</v>
      </c>
      <c r="N65" s="7">
        <f t="shared" si="4"/>
        <v>1.0149900000000001</v>
      </c>
      <c r="O65" s="8">
        <f t="shared" si="5"/>
        <v>255.17375642479234</v>
      </c>
      <c r="P65" s="10" t="s">
        <v>50</v>
      </c>
      <c r="Q65" s="10" t="s">
        <v>293</v>
      </c>
      <c r="R65" s="11" t="s">
        <v>294</v>
      </c>
      <c r="S65" s="10" t="s">
        <v>53</v>
      </c>
      <c r="T65" s="10" t="s">
        <v>41</v>
      </c>
      <c r="U65" s="10" t="s">
        <v>41</v>
      </c>
      <c r="V65" s="10" t="s">
        <v>43</v>
      </c>
      <c r="W65" s="10" t="s">
        <v>54</v>
      </c>
    </row>
    <row r="66" spans="1:23">
      <c r="A66" s="4" t="s">
        <v>295</v>
      </c>
      <c r="B66" s="5">
        <v>1</v>
      </c>
      <c r="C66" s="10" t="s">
        <v>110</v>
      </c>
      <c r="D66" s="10" t="s">
        <v>33</v>
      </c>
      <c r="E66" s="10" t="s">
        <v>34</v>
      </c>
      <c r="F66" s="10" t="s">
        <v>57</v>
      </c>
      <c r="G66" s="10" t="s">
        <v>106</v>
      </c>
      <c r="H66" s="6">
        <v>-14.274721899999999</v>
      </c>
      <c r="I66" s="6">
        <v>-170.6608597</v>
      </c>
      <c r="J66" s="5">
        <v>1549</v>
      </c>
      <c r="K66" s="5">
        <v>133</v>
      </c>
      <c r="L66" s="5">
        <v>2612476</v>
      </c>
      <c r="M66" s="7">
        <f t="shared" si="3"/>
        <v>1.0086826227403347</v>
      </c>
      <c r="N66" s="7">
        <f t="shared" si="4"/>
        <v>2.612476</v>
      </c>
      <c r="O66" s="8">
        <f t="shared" si="5"/>
        <v>1535.66638809714</v>
      </c>
      <c r="P66" s="10" t="s">
        <v>223</v>
      </c>
      <c r="Q66" s="10" t="s">
        <v>111</v>
      </c>
      <c r="R66" s="11" t="s">
        <v>112</v>
      </c>
      <c r="S66" s="10" t="s">
        <v>40</v>
      </c>
      <c r="T66" s="10" t="s">
        <v>41</v>
      </c>
      <c r="U66" s="10" t="s">
        <v>41</v>
      </c>
      <c r="V66" s="10" t="s">
        <v>43</v>
      </c>
      <c r="W66" s="10" t="s">
        <v>296</v>
      </c>
    </row>
    <row r="67" spans="1:23">
      <c r="A67" s="4" t="s">
        <v>297</v>
      </c>
      <c r="B67" s="5">
        <v>17</v>
      </c>
      <c r="C67" s="10" t="s">
        <v>146</v>
      </c>
      <c r="D67" s="10" t="s">
        <v>33</v>
      </c>
      <c r="E67" s="10" t="s">
        <v>34</v>
      </c>
      <c r="F67" s="10" t="s">
        <v>136</v>
      </c>
      <c r="G67" s="10" t="s">
        <v>137</v>
      </c>
      <c r="H67" s="6">
        <v>-14.334720000000001</v>
      </c>
      <c r="I67" s="6">
        <v>-170.72971999999999</v>
      </c>
      <c r="J67" s="5">
        <v>7988</v>
      </c>
      <c r="K67" s="5">
        <v>680</v>
      </c>
      <c r="L67" s="5">
        <v>6417913</v>
      </c>
      <c r="M67" s="7">
        <f t="shared" si="3"/>
        <v>2.477970062637624</v>
      </c>
      <c r="N67" s="7">
        <f t="shared" si="4"/>
        <v>6.4179130000000004</v>
      </c>
      <c r="O67" s="8">
        <f t="shared" si="5"/>
        <v>3223.606338285354</v>
      </c>
      <c r="P67" s="10" t="s">
        <v>37</v>
      </c>
      <c r="Q67" s="10" t="s">
        <v>147</v>
      </c>
      <c r="R67" s="11" t="s">
        <v>148</v>
      </c>
      <c r="S67" s="10" t="s">
        <v>40</v>
      </c>
      <c r="T67" s="10" t="s">
        <v>41</v>
      </c>
      <c r="U67" s="10" t="s">
        <v>42</v>
      </c>
      <c r="V67" s="10" t="s">
        <v>43</v>
      </c>
      <c r="W67" s="10" t="s">
        <v>149</v>
      </c>
    </row>
    <row r="68" spans="1:23">
      <c r="A68" s="4" t="s">
        <v>298</v>
      </c>
      <c r="B68" s="5">
        <v>12</v>
      </c>
      <c r="C68" s="10" t="s">
        <v>299</v>
      </c>
      <c r="D68" s="10" t="s">
        <v>48</v>
      </c>
      <c r="E68" s="10" t="s">
        <v>34</v>
      </c>
      <c r="F68" s="10" t="s">
        <v>57</v>
      </c>
      <c r="G68" s="10" t="s">
        <v>300</v>
      </c>
      <c r="H68" s="6">
        <v>-14.268124500000001</v>
      </c>
      <c r="I68" s="6">
        <v>-170.60403600000001</v>
      </c>
      <c r="J68" s="5">
        <v>81</v>
      </c>
      <c r="K68" s="5">
        <v>9</v>
      </c>
      <c r="L68" s="5">
        <v>385404</v>
      </c>
      <c r="M68" s="7">
        <f t="shared" si="3"/>
        <v>0.1488053163108928</v>
      </c>
      <c r="N68" s="7">
        <f t="shared" si="4"/>
        <v>0.38540400000000002</v>
      </c>
      <c r="O68" s="8">
        <f t="shared" si="5"/>
        <v>544.33539075156455</v>
      </c>
      <c r="P68" s="10" t="s">
        <v>50</v>
      </c>
      <c r="Q68" s="10" t="s">
        <v>301</v>
      </c>
      <c r="R68" s="11" t="s">
        <v>302</v>
      </c>
      <c r="S68" s="10" t="s">
        <v>53</v>
      </c>
      <c r="T68" s="10" t="s">
        <v>41</v>
      </c>
      <c r="U68" s="10" t="s">
        <v>41</v>
      </c>
      <c r="V68" s="10" t="s">
        <v>43</v>
      </c>
      <c r="W68" s="10" t="s">
        <v>54</v>
      </c>
    </row>
    <row r="69" spans="1:23">
      <c r="A69" s="4" t="s">
        <v>303</v>
      </c>
      <c r="B69" s="5">
        <v>415</v>
      </c>
      <c r="C69" s="10" t="s">
        <v>304</v>
      </c>
      <c r="D69" s="10" t="s">
        <v>48</v>
      </c>
      <c r="E69" s="10" t="s">
        <v>34</v>
      </c>
      <c r="F69" s="10" t="s">
        <v>57</v>
      </c>
      <c r="G69" s="10" t="s">
        <v>106</v>
      </c>
      <c r="H69" s="6">
        <v>-14.252446000000001</v>
      </c>
      <c r="I69" s="6">
        <v>-170.70102800000001</v>
      </c>
      <c r="J69" s="5">
        <v>3000</v>
      </c>
      <c r="K69" s="5">
        <v>280</v>
      </c>
      <c r="L69" s="5">
        <v>8876020</v>
      </c>
      <c r="M69" s="7">
        <f t="shared" si="3"/>
        <v>3.4270504812659199</v>
      </c>
      <c r="N69" s="7">
        <f t="shared" si="4"/>
        <v>8.8760200000000005</v>
      </c>
      <c r="O69" s="8">
        <f t="shared" si="5"/>
        <v>875.38833069416251</v>
      </c>
      <c r="P69" s="10" t="s">
        <v>50</v>
      </c>
      <c r="Q69" s="10" t="s">
        <v>305</v>
      </c>
      <c r="R69" s="11" t="s">
        <v>306</v>
      </c>
      <c r="S69" s="10" t="s">
        <v>53</v>
      </c>
      <c r="T69" s="10" t="s">
        <v>41</v>
      </c>
      <c r="U69" s="10" t="s">
        <v>41</v>
      </c>
      <c r="V69" s="10" t="s">
        <v>43</v>
      </c>
      <c r="W69" s="10" t="s">
        <v>54</v>
      </c>
    </row>
    <row r="70" spans="1:23">
      <c r="A70" s="4" t="s">
        <v>307</v>
      </c>
      <c r="B70" s="5">
        <v>272</v>
      </c>
      <c r="C70" s="10" t="s">
        <v>308</v>
      </c>
      <c r="D70" s="10" t="s">
        <v>48</v>
      </c>
      <c r="E70" s="10" t="s">
        <v>34</v>
      </c>
      <c r="F70" s="10" t="s">
        <v>35</v>
      </c>
      <c r="G70" s="10" t="s">
        <v>187</v>
      </c>
      <c r="H70" s="6">
        <v>-14.3340736</v>
      </c>
      <c r="I70" s="6">
        <v>-170.7511739</v>
      </c>
      <c r="J70" s="5">
        <v>2112</v>
      </c>
      <c r="K70" s="5">
        <v>204</v>
      </c>
      <c r="L70" s="5">
        <v>1898727</v>
      </c>
      <c r="M70" s="7">
        <f t="shared" si="3"/>
        <v>0.73310259318282256</v>
      </c>
      <c r="N70" s="7">
        <f t="shared" si="4"/>
        <v>1.8987270000000001</v>
      </c>
      <c r="O70" s="8">
        <f t="shared" si="5"/>
        <v>2880.9064647153764</v>
      </c>
      <c r="P70" s="10" t="s">
        <v>50</v>
      </c>
      <c r="Q70" s="10" t="s">
        <v>309</v>
      </c>
      <c r="R70" s="11" t="s">
        <v>310</v>
      </c>
      <c r="S70" s="10" t="s">
        <v>53</v>
      </c>
      <c r="T70" s="10" t="s">
        <v>41</v>
      </c>
      <c r="U70" s="10" t="s">
        <v>41</v>
      </c>
      <c r="V70" s="10" t="s">
        <v>43</v>
      </c>
      <c r="W70" s="10" t="s">
        <v>54</v>
      </c>
    </row>
    <row r="71" spans="1:23">
      <c r="A71" s="4" t="s">
        <v>311</v>
      </c>
      <c r="B71" s="5">
        <v>40</v>
      </c>
      <c r="C71" s="10" t="s">
        <v>146</v>
      </c>
      <c r="D71" s="10" t="s">
        <v>33</v>
      </c>
      <c r="E71" s="10" t="s">
        <v>34</v>
      </c>
      <c r="F71" s="10" t="s">
        <v>136</v>
      </c>
      <c r="G71" s="10" t="s">
        <v>137</v>
      </c>
      <c r="H71" s="6">
        <v>-14.3361272</v>
      </c>
      <c r="I71" s="6">
        <v>-170.71558590000001</v>
      </c>
      <c r="J71" s="5">
        <v>7988</v>
      </c>
      <c r="K71" s="5">
        <v>680</v>
      </c>
      <c r="L71" s="5">
        <v>6417913</v>
      </c>
      <c r="M71" s="7">
        <f t="shared" si="3"/>
        <v>2.477970062637624</v>
      </c>
      <c r="N71" s="7">
        <f t="shared" si="4"/>
        <v>6.4179130000000004</v>
      </c>
      <c r="O71" s="8">
        <f t="shared" si="5"/>
        <v>3223.606338285354</v>
      </c>
      <c r="P71" s="10" t="s">
        <v>223</v>
      </c>
      <c r="Q71" s="10" t="s">
        <v>147</v>
      </c>
      <c r="R71" s="11" t="s">
        <v>148</v>
      </c>
      <c r="S71" s="10" t="s">
        <v>40</v>
      </c>
      <c r="T71" s="10" t="s">
        <v>41</v>
      </c>
      <c r="U71" s="10" t="s">
        <v>41</v>
      </c>
      <c r="V71" s="10" t="s">
        <v>43</v>
      </c>
      <c r="W71" s="10" t="s">
        <v>224</v>
      </c>
    </row>
    <row r="72" spans="1:23">
      <c r="A72" s="4" t="s">
        <v>312</v>
      </c>
      <c r="B72" s="5">
        <v>8</v>
      </c>
      <c r="C72" s="10" t="s">
        <v>313</v>
      </c>
      <c r="D72" s="10" t="s">
        <v>48</v>
      </c>
      <c r="E72" s="10" t="s">
        <v>34</v>
      </c>
      <c r="F72" s="10" t="s">
        <v>35</v>
      </c>
      <c r="G72" s="10" t="s">
        <v>49</v>
      </c>
      <c r="H72" s="6">
        <v>-14.320610800000001</v>
      </c>
      <c r="I72" s="6">
        <v>-170.84652059999999</v>
      </c>
      <c r="J72" s="5">
        <v>130</v>
      </c>
      <c r="K72" s="5">
        <v>9</v>
      </c>
      <c r="L72" s="5">
        <v>822846</v>
      </c>
      <c r="M72" s="7">
        <f t="shared" ref="M72:M103" si="6">IF(L72=0,0,L72/2589988.110336)</f>
        <v>0.31770261674801736</v>
      </c>
      <c r="N72" s="7">
        <f t="shared" ref="N72:N89" si="7">IF(L72=0,0,L72/1000000)</f>
        <v>0.82284599999999997</v>
      </c>
      <c r="O72" s="8">
        <f t="shared" ref="O72:O89" si="8">IF(M72=0,0,J72/M72)</f>
        <v>409.18769045930833</v>
      </c>
      <c r="P72" s="10" t="s">
        <v>50</v>
      </c>
      <c r="Q72" s="10" t="s">
        <v>314</v>
      </c>
      <c r="R72" s="11" t="s">
        <v>315</v>
      </c>
      <c r="S72" s="10" t="s">
        <v>53</v>
      </c>
      <c r="T72" s="10" t="s">
        <v>41</v>
      </c>
      <c r="U72" s="10" t="s">
        <v>41</v>
      </c>
      <c r="V72" s="10" t="s">
        <v>43</v>
      </c>
      <c r="W72" s="10" t="s">
        <v>54</v>
      </c>
    </row>
    <row r="73" spans="1:23">
      <c r="A73" s="4" t="s">
        <v>316</v>
      </c>
      <c r="B73" s="5">
        <v>6</v>
      </c>
      <c r="C73" s="10" t="s">
        <v>317</v>
      </c>
      <c r="D73" s="10" t="s">
        <v>48</v>
      </c>
      <c r="E73" s="10" t="s">
        <v>34</v>
      </c>
      <c r="F73" s="10" t="s">
        <v>35</v>
      </c>
      <c r="G73" s="10" t="s">
        <v>49</v>
      </c>
      <c r="H73" s="6">
        <v>-14.3450711</v>
      </c>
      <c r="I73" s="6">
        <v>-170.7722502</v>
      </c>
      <c r="J73" s="5">
        <v>957</v>
      </c>
      <c r="K73" s="5">
        <v>89</v>
      </c>
      <c r="L73" s="5">
        <v>968325</v>
      </c>
      <c r="M73" s="7">
        <f t="shared" si="6"/>
        <v>0.37387237267061385</v>
      </c>
      <c r="N73" s="7">
        <f t="shared" si="7"/>
        <v>0.96832499999999999</v>
      </c>
      <c r="O73" s="8">
        <f t="shared" si="8"/>
        <v>2559.6970248537959</v>
      </c>
      <c r="P73" s="10" t="s">
        <v>50</v>
      </c>
      <c r="Q73" s="10" t="s">
        <v>318</v>
      </c>
      <c r="R73" s="11" t="s">
        <v>319</v>
      </c>
      <c r="S73" s="10" t="s">
        <v>53</v>
      </c>
      <c r="T73" s="10" t="s">
        <v>41</v>
      </c>
      <c r="U73" s="10" t="s">
        <v>41</v>
      </c>
      <c r="V73" s="10" t="s">
        <v>43</v>
      </c>
      <c r="W73" s="10" t="s">
        <v>54</v>
      </c>
    </row>
    <row r="74" spans="1:23">
      <c r="A74" s="4" t="s">
        <v>320</v>
      </c>
      <c r="B74" s="5">
        <v>12</v>
      </c>
      <c r="C74" s="10" t="s">
        <v>321</v>
      </c>
      <c r="D74" s="10" t="s">
        <v>48</v>
      </c>
      <c r="E74" s="10" t="s">
        <v>34</v>
      </c>
      <c r="F74" s="10" t="s">
        <v>57</v>
      </c>
      <c r="G74" s="10" t="s">
        <v>58</v>
      </c>
      <c r="H74" s="6">
        <v>-14.255954900000001</v>
      </c>
      <c r="I74" s="6">
        <v>-170.603116</v>
      </c>
      <c r="J74" s="5">
        <v>60</v>
      </c>
      <c r="K74" s="5">
        <v>2</v>
      </c>
      <c r="L74" s="5">
        <v>1371428</v>
      </c>
      <c r="M74" s="7">
        <f t="shared" si="6"/>
        <v>0.52951131108554939</v>
      </c>
      <c r="N74" s="7">
        <f t="shared" si="7"/>
        <v>1.3714280000000001</v>
      </c>
      <c r="O74" s="8">
        <f t="shared" si="8"/>
        <v>113.31202704054461</v>
      </c>
      <c r="P74" s="10" t="s">
        <v>50</v>
      </c>
      <c r="Q74" s="10" t="s">
        <v>322</v>
      </c>
      <c r="R74" s="11" t="s">
        <v>323</v>
      </c>
      <c r="S74" s="10" t="s">
        <v>53</v>
      </c>
      <c r="T74" s="10" t="s">
        <v>41</v>
      </c>
      <c r="U74" s="10" t="s">
        <v>41</v>
      </c>
      <c r="V74" s="10" t="s">
        <v>43</v>
      </c>
      <c r="W74" s="10" t="s">
        <v>54</v>
      </c>
    </row>
    <row r="75" spans="1:23">
      <c r="A75" s="4" t="s">
        <v>324</v>
      </c>
      <c r="B75" s="5">
        <v>31</v>
      </c>
      <c r="C75" s="10" t="s">
        <v>325</v>
      </c>
      <c r="D75" s="10" t="s">
        <v>48</v>
      </c>
      <c r="E75" s="10" t="s">
        <v>34</v>
      </c>
      <c r="F75" s="10" t="s">
        <v>57</v>
      </c>
      <c r="G75" s="10" t="s">
        <v>106</v>
      </c>
      <c r="H75" s="6">
        <v>-14.268466800000001</v>
      </c>
      <c r="I75" s="6">
        <v>-170.69189349999999</v>
      </c>
      <c r="J75" s="5">
        <v>218</v>
      </c>
      <c r="K75" s="5">
        <v>20</v>
      </c>
      <c r="L75" s="5">
        <v>400381</v>
      </c>
      <c r="M75" s="7">
        <f t="shared" si="6"/>
        <v>0.15458796833938301</v>
      </c>
      <c r="N75" s="7">
        <f t="shared" si="7"/>
        <v>0.40038099999999999</v>
      </c>
      <c r="O75" s="8">
        <f t="shared" si="8"/>
        <v>1410.200304343233</v>
      </c>
      <c r="P75" s="10" t="s">
        <v>50</v>
      </c>
      <c r="Q75" s="10" t="s">
        <v>326</v>
      </c>
      <c r="R75" s="11" t="s">
        <v>327</v>
      </c>
      <c r="S75" s="10" t="s">
        <v>53</v>
      </c>
      <c r="T75" s="10" t="s">
        <v>41</v>
      </c>
      <c r="U75" s="10" t="s">
        <v>41</v>
      </c>
      <c r="V75" s="10" t="s">
        <v>43</v>
      </c>
      <c r="W75" s="10" t="s">
        <v>54</v>
      </c>
    </row>
    <row r="76" spans="1:23">
      <c r="A76" s="4" t="s">
        <v>328</v>
      </c>
      <c r="B76" s="5">
        <v>30</v>
      </c>
      <c r="C76" s="10" t="s">
        <v>329</v>
      </c>
      <c r="D76" s="10" t="s">
        <v>48</v>
      </c>
      <c r="E76" s="10" t="s">
        <v>34</v>
      </c>
      <c r="F76" s="10" t="s">
        <v>35</v>
      </c>
      <c r="G76" s="10" t="s">
        <v>49</v>
      </c>
      <c r="H76" s="6">
        <v>-14.3265618</v>
      </c>
      <c r="I76" s="6">
        <v>-170.81225180000001</v>
      </c>
      <c r="J76" s="5">
        <v>177</v>
      </c>
      <c r="K76" s="5">
        <v>17</v>
      </c>
      <c r="L76" s="5">
        <v>701184</v>
      </c>
      <c r="M76" s="7">
        <f t="shared" si="6"/>
        <v>0.27072865593542633</v>
      </c>
      <c r="N76" s="7">
        <f t="shared" si="7"/>
        <v>0.70118400000000003</v>
      </c>
      <c r="O76" s="8">
        <f t="shared" si="8"/>
        <v>653.79115257831324</v>
      </c>
      <c r="P76" s="10" t="s">
        <v>50</v>
      </c>
      <c r="Q76" s="10" t="s">
        <v>330</v>
      </c>
      <c r="R76" s="11" t="s">
        <v>331</v>
      </c>
      <c r="S76" s="10" t="s">
        <v>53</v>
      </c>
      <c r="T76" s="10" t="s">
        <v>41</v>
      </c>
      <c r="U76" s="10" t="s">
        <v>41</v>
      </c>
      <c r="V76" s="10" t="s">
        <v>43</v>
      </c>
      <c r="W76" s="10" t="s">
        <v>54</v>
      </c>
    </row>
    <row r="77" spans="1:23" ht="24">
      <c r="A77" s="4" t="s">
        <v>332</v>
      </c>
      <c r="B77" s="5">
        <v>12</v>
      </c>
      <c r="C77" s="10" t="s">
        <v>333</v>
      </c>
      <c r="D77" s="10" t="s">
        <v>197</v>
      </c>
      <c r="E77" s="10" t="s">
        <v>181</v>
      </c>
      <c r="F77" s="10" t="s">
        <v>182</v>
      </c>
      <c r="G77" s="10" t="s">
        <v>334</v>
      </c>
      <c r="H77" s="6">
        <v>-14.246542895305</v>
      </c>
      <c r="I77" s="6">
        <v>-169.48750999214701</v>
      </c>
      <c r="J77" s="5">
        <v>236</v>
      </c>
      <c r="K77" s="5">
        <v>22</v>
      </c>
      <c r="L77" s="5">
        <v>15872944</v>
      </c>
      <c r="M77" s="7">
        <f t="shared" si="6"/>
        <v>6.128577940823364</v>
      </c>
      <c r="N77" s="7">
        <f t="shared" si="7"/>
        <v>15.872944</v>
      </c>
      <c r="O77" s="8">
        <f t="shared" si="8"/>
        <v>38.508117589232093</v>
      </c>
      <c r="P77" s="10" t="s">
        <v>37</v>
      </c>
      <c r="Q77" s="10" t="s">
        <v>199</v>
      </c>
      <c r="R77" s="11" t="s">
        <v>335</v>
      </c>
      <c r="S77" s="10" t="s">
        <v>40</v>
      </c>
      <c r="T77" s="10" t="s">
        <v>41</v>
      </c>
      <c r="U77" s="10" t="s">
        <v>42</v>
      </c>
      <c r="V77" s="10" t="s">
        <v>43</v>
      </c>
      <c r="W77" s="10" t="s">
        <v>336</v>
      </c>
    </row>
    <row r="78" spans="1:23">
      <c r="A78" s="4" t="s">
        <v>337</v>
      </c>
      <c r="B78" s="5">
        <v>1</v>
      </c>
      <c r="C78" s="10" t="s">
        <v>226</v>
      </c>
      <c r="D78" s="10" t="s">
        <v>338</v>
      </c>
      <c r="E78" s="10" t="s">
        <v>34</v>
      </c>
      <c r="F78" s="10" t="s">
        <v>57</v>
      </c>
      <c r="G78" s="10" t="s">
        <v>58</v>
      </c>
      <c r="H78" s="6">
        <v>-14.287879999999999</v>
      </c>
      <c r="I78" s="6">
        <v>-170.66284999999999</v>
      </c>
      <c r="J78" s="5">
        <v>736</v>
      </c>
      <c r="K78" s="5">
        <v>63</v>
      </c>
      <c r="L78" s="5">
        <v>1344715</v>
      </c>
      <c r="M78" s="7">
        <f t="shared" si="6"/>
        <v>0.51919736412440509</v>
      </c>
      <c r="N78" s="7">
        <f t="shared" si="7"/>
        <v>1.3447150000000001</v>
      </c>
      <c r="O78" s="8">
        <f t="shared" si="8"/>
        <v>1417.5726820979137</v>
      </c>
      <c r="P78" s="10" t="s">
        <v>339</v>
      </c>
      <c r="Q78" s="10" t="s">
        <v>227</v>
      </c>
      <c r="R78" s="11" t="s">
        <v>228</v>
      </c>
      <c r="S78" s="10" t="s">
        <v>340</v>
      </c>
      <c r="T78" s="10" t="s">
        <v>41</v>
      </c>
      <c r="U78" s="10" t="s">
        <v>42</v>
      </c>
      <c r="V78" s="10" t="s">
        <v>43</v>
      </c>
      <c r="W78" s="10" t="s">
        <v>341</v>
      </c>
    </row>
    <row r="79" spans="1:23">
      <c r="A79" s="4" t="s">
        <v>342</v>
      </c>
      <c r="B79" s="5">
        <v>31</v>
      </c>
      <c r="C79" s="10" t="s">
        <v>256</v>
      </c>
      <c r="D79" s="10" t="s">
        <v>33</v>
      </c>
      <c r="E79" s="10" t="s">
        <v>34</v>
      </c>
      <c r="F79" s="10" t="s">
        <v>35</v>
      </c>
      <c r="G79" s="10" t="s">
        <v>187</v>
      </c>
      <c r="H79" s="6">
        <v>-14.325559999999999</v>
      </c>
      <c r="I79" s="6">
        <v>-170.75166999999999</v>
      </c>
      <c r="J79" s="5">
        <v>1772</v>
      </c>
      <c r="K79" s="5">
        <v>211</v>
      </c>
      <c r="L79" s="5">
        <v>2064469</v>
      </c>
      <c r="M79" s="7">
        <f t="shared" si="6"/>
        <v>0.79709593714396465</v>
      </c>
      <c r="N79" s="7">
        <f t="shared" si="7"/>
        <v>2.0644689999999999</v>
      </c>
      <c r="O79" s="8">
        <f t="shared" si="8"/>
        <v>2223.0699184707505</v>
      </c>
      <c r="P79" s="10" t="s">
        <v>37</v>
      </c>
      <c r="Q79" s="10" t="s">
        <v>257</v>
      </c>
      <c r="R79" s="11" t="s">
        <v>258</v>
      </c>
      <c r="S79" s="10" t="s">
        <v>40</v>
      </c>
      <c r="T79" s="10" t="s">
        <v>41</v>
      </c>
      <c r="U79" s="10" t="s">
        <v>42</v>
      </c>
      <c r="V79" s="10" t="s">
        <v>43</v>
      </c>
      <c r="W79" s="10" t="s">
        <v>343</v>
      </c>
    </row>
    <row r="80" spans="1:23">
      <c r="A80" s="4" t="s">
        <v>344</v>
      </c>
      <c r="B80" s="5">
        <v>938</v>
      </c>
      <c r="C80" s="10" t="s">
        <v>146</v>
      </c>
      <c r="D80" s="10" t="s">
        <v>48</v>
      </c>
      <c r="E80" s="10" t="s">
        <v>34</v>
      </c>
      <c r="F80" s="10" t="s">
        <v>136</v>
      </c>
      <c r="G80" s="10" t="s">
        <v>137</v>
      </c>
      <c r="H80" s="6">
        <v>-14.3361272</v>
      </c>
      <c r="I80" s="6">
        <v>-170.71558590000001</v>
      </c>
      <c r="J80" s="5">
        <v>7988</v>
      </c>
      <c r="K80" s="5">
        <v>680</v>
      </c>
      <c r="L80" s="5">
        <v>6417913</v>
      </c>
      <c r="M80" s="7">
        <f t="shared" si="6"/>
        <v>2.477970062637624</v>
      </c>
      <c r="N80" s="7">
        <f t="shared" si="7"/>
        <v>6.4179130000000004</v>
      </c>
      <c r="O80" s="8">
        <f t="shared" si="8"/>
        <v>3223.606338285354</v>
      </c>
      <c r="P80" s="10" t="s">
        <v>50</v>
      </c>
      <c r="Q80" s="10" t="s">
        <v>147</v>
      </c>
      <c r="R80" s="11" t="s">
        <v>148</v>
      </c>
      <c r="S80" s="10" t="s">
        <v>53</v>
      </c>
      <c r="T80" s="10" t="s">
        <v>41</v>
      </c>
      <c r="U80" s="10" t="s">
        <v>41</v>
      </c>
      <c r="V80" s="10" t="s">
        <v>43</v>
      </c>
      <c r="W80" s="10" t="s">
        <v>54</v>
      </c>
    </row>
    <row r="81" spans="1:23">
      <c r="A81" s="4" t="s">
        <v>345</v>
      </c>
      <c r="B81" s="5">
        <v>88</v>
      </c>
      <c r="C81" s="10" t="s">
        <v>346</v>
      </c>
      <c r="D81" s="10" t="s">
        <v>48</v>
      </c>
      <c r="E81" s="10" t="s">
        <v>34</v>
      </c>
      <c r="F81" s="10" t="s">
        <v>35</v>
      </c>
      <c r="G81" s="10" t="s">
        <v>209</v>
      </c>
      <c r="H81" s="6">
        <v>-14.362552900000001</v>
      </c>
      <c r="I81" s="6">
        <v>-170.77314720000001</v>
      </c>
      <c r="J81" s="5">
        <v>709</v>
      </c>
      <c r="K81" s="5">
        <v>78</v>
      </c>
      <c r="L81" s="5">
        <v>1581022</v>
      </c>
      <c r="M81" s="7">
        <f t="shared" si="6"/>
        <v>0.61043600690309474</v>
      </c>
      <c r="N81" s="7">
        <f t="shared" si="7"/>
        <v>1.5810219999999999</v>
      </c>
      <c r="O81" s="8">
        <f t="shared" si="8"/>
        <v>1161.4649070210435</v>
      </c>
      <c r="P81" s="10" t="s">
        <v>50</v>
      </c>
      <c r="Q81" s="10" t="s">
        <v>347</v>
      </c>
      <c r="R81" s="11" t="s">
        <v>348</v>
      </c>
      <c r="S81" s="10" t="s">
        <v>53</v>
      </c>
      <c r="T81" s="10" t="s">
        <v>41</v>
      </c>
      <c r="U81" s="10" t="s">
        <v>41</v>
      </c>
      <c r="V81" s="10" t="s">
        <v>43</v>
      </c>
      <c r="W81" s="10" t="s">
        <v>54</v>
      </c>
    </row>
    <row r="82" spans="1:23">
      <c r="A82" s="4" t="s">
        <v>349</v>
      </c>
      <c r="B82" s="5">
        <v>36</v>
      </c>
      <c r="C82" s="10" t="s">
        <v>350</v>
      </c>
      <c r="D82" s="10" t="s">
        <v>48</v>
      </c>
      <c r="E82" s="10" t="s">
        <v>34</v>
      </c>
      <c r="F82" s="10" t="s">
        <v>57</v>
      </c>
      <c r="G82" s="10" t="s">
        <v>63</v>
      </c>
      <c r="H82" s="6">
        <v>-14.2492942</v>
      </c>
      <c r="I82" s="6">
        <v>-170.56560579999999</v>
      </c>
      <c r="J82" s="5">
        <v>308</v>
      </c>
      <c r="K82" s="5">
        <v>34</v>
      </c>
      <c r="L82" s="5">
        <v>1307106</v>
      </c>
      <c r="M82" s="7">
        <f t="shared" si="6"/>
        <v>0.5046764480437822</v>
      </c>
      <c r="N82" s="7">
        <f t="shared" si="7"/>
        <v>1.3071060000000001</v>
      </c>
      <c r="O82" s="8">
        <f t="shared" si="8"/>
        <v>610.29200231923653</v>
      </c>
      <c r="P82" s="10" t="s">
        <v>50</v>
      </c>
      <c r="Q82" s="10" t="s">
        <v>351</v>
      </c>
      <c r="R82" s="11" t="s">
        <v>352</v>
      </c>
      <c r="S82" s="10" t="s">
        <v>53</v>
      </c>
      <c r="T82" s="10" t="s">
        <v>41</v>
      </c>
      <c r="U82" s="10" t="s">
        <v>41</v>
      </c>
      <c r="V82" s="10" t="s">
        <v>43</v>
      </c>
      <c r="W82" s="10" t="s">
        <v>54</v>
      </c>
    </row>
    <row r="83" spans="1:23">
      <c r="A83" s="4" t="s">
        <v>353</v>
      </c>
      <c r="B83" s="5">
        <v>54</v>
      </c>
      <c r="C83" s="10" t="s">
        <v>213</v>
      </c>
      <c r="D83" s="10" t="s">
        <v>48</v>
      </c>
      <c r="E83" s="10" t="s">
        <v>34</v>
      </c>
      <c r="F83" s="10" t="s">
        <v>57</v>
      </c>
      <c r="G83" s="10" t="s">
        <v>106</v>
      </c>
      <c r="H83" s="6">
        <v>-14.2835047</v>
      </c>
      <c r="I83" s="6">
        <v>-170.67995690000001</v>
      </c>
      <c r="J83" s="5">
        <v>479</v>
      </c>
      <c r="K83" s="5">
        <v>35</v>
      </c>
      <c r="L83" s="5">
        <v>861788</v>
      </c>
      <c r="M83" s="7">
        <f t="shared" si="6"/>
        <v>0.33273820700597728</v>
      </c>
      <c r="N83" s="7">
        <f t="shared" si="7"/>
        <v>0.861788</v>
      </c>
      <c r="O83" s="8">
        <f t="shared" si="8"/>
        <v>1439.5701783396196</v>
      </c>
      <c r="P83" s="10" t="s">
        <v>50</v>
      </c>
      <c r="Q83" s="10" t="s">
        <v>215</v>
      </c>
      <c r="R83" s="11" t="s">
        <v>216</v>
      </c>
      <c r="S83" s="10" t="s">
        <v>53</v>
      </c>
      <c r="T83" s="10" t="s">
        <v>41</v>
      </c>
      <c r="U83" s="10" t="s">
        <v>41</v>
      </c>
      <c r="V83" s="10" t="s">
        <v>43</v>
      </c>
      <c r="W83" s="10" t="s">
        <v>54</v>
      </c>
    </row>
    <row r="84" spans="1:23">
      <c r="A84" s="4" t="s">
        <v>354</v>
      </c>
      <c r="B84" s="5">
        <v>9</v>
      </c>
      <c r="C84" s="10" t="s">
        <v>355</v>
      </c>
      <c r="D84" s="10" t="s">
        <v>48</v>
      </c>
      <c r="E84" s="10" t="s">
        <v>34</v>
      </c>
      <c r="F84" s="10" t="s">
        <v>57</v>
      </c>
      <c r="G84" s="10" t="s">
        <v>72</v>
      </c>
      <c r="H84" s="6">
        <v>-14.2710778</v>
      </c>
      <c r="I84" s="6">
        <v>-170.567758</v>
      </c>
      <c r="J84" s="5">
        <v>55</v>
      </c>
      <c r="K84" s="5">
        <v>7</v>
      </c>
      <c r="L84" s="5">
        <v>491991</v>
      </c>
      <c r="M84" s="7">
        <f t="shared" si="6"/>
        <v>0.18995878708345645</v>
      </c>
      <c r="N84" s="7">
        <f t="shared" si="7"/>
        <v>0.49199100000000001</v>
      </c>
      <c r="O84" s="8">
        <f t="shared" si="8"/>
        <v>289.53648759526089</v>
      </c>
      <c r="P84" s="10" t="s">
        <v>50</v>
      </c>
      <c r="Q84" s="10" t="s">
        <v>356</v>
      </c>
      <c r="R84" s="11" t="s">
        <v>357</v>
      </c>
      <c r="S84" s="10" t="s">
        <v>53</v>
      </c>
      <c r="T84" s="10" t="s">
        <v>41</v>
      </c>
      <c r="U84" s="10" t="s">
        <v>41</v>
      </c>
      <c r="V84" s="10" t="s">
        <v>43</v>
      </c>
      <c r="W84" s="10" t="s">
        <v>54</v>
      </c>
    </row>
    <row r="85" spans="1:23">
      <c r="A85" s="4" t="s">
        <v>358</v>
      </c>
      <c r="B85" s="5">
        <v>1</v>
      </c>
      <c r="C85" s="10" t="s">
        <v>359</v>
      </c>
      <c r="D85" s="10" t="s">
        <v>48</v>
      </c>
      <c r="E85" s="10" t="s">
        <v>34</v>
      </c>
      <c r="F85" s="10" t="s">
        <v>35</v>
      </c>
      <c r="G85" s="10" t="s">
        <v>49</v>
      </c>
      <c r="H85" s="6">
        <v>-14.3237323</v>
      </c>
      <c r="I85" s="6">
        <v>-170.8171467</v>
      </c>
      <c r="J85" s="5">
        <v>42</v>
      </c>
      <c r="K85" s="5">
        <v>3</v>
      </c>
      <c r="L85" s="5">
        <v>672965</v>
      </c>
      <c r="M85" s="7">
        <f t="shared" si="6"/>
        <v>0.25983323912351708</v>
      </c>
      <c r="N85" s="7">
        <f t="shared" si="7"/>
        <v>0.67296500000000004</v>
      </c>
      <c r="O85" s="8">
        <f t="shared" si="8"/>
        <v>161.64213686315335</v>
      </c>
      <c r="P85" s="10" t="s">
        <v>50</v>
      </c>
      <c r="Q85" s="10" t="s">
        <v>360</v>
      </c>
      <c r="R85" s="11" t="s">
        <v>361</v>
      </c>
      <c r="S85" s="10" t="s">
        <v>53</v>
      </c>
      <c r="T85" s="10" t="s">
        <v>41</v>
      </c>
      <c r="U85" s="10" t="s">
        <v>41</v>
      </c>
      <c r="V85" s="10" t="s">
        <v>43</v>
      </c>
      <c r="W85" s="10" t="s">
        <v>54</v>
      </c>
    </row>
    <row r="86" spans="1:23">
      <c r="A86" s="4" t="s">
        <v>362</v>
      </c>
      <c r="B86" s="5">
        <v>4</v>
      </c>
      <c r="C86" s="10" t="s">
        <v>363</v>
      </c>
      <c r="D86" s="10" t="s">
        <v>48</v>
      </c>
      <c r="E86" s="10" t="s">
        <v>34</v>
      </c>
      <c r="F86" s="10" t="s">
        <v>57</v>
      </c>
      <c r="G86" s="10" t="s">
        <v>58</v>
      </c>
      <c r="H86" s="6">
        <v>-14.2687142</v>
      </c>
      <c r="I86" s="6">
        <v>-170.62037699999999</v>
      </c>
      <c r="J86" s="5">
        <v>65</v>
      </c>
      <c r="K86" s="5">
        <v>3</v>
      </c>
      <c r="L86" s="5">
        <v>304545</v>
      </c>
      <c r="M86" s="7">
        <f t="shared" si="6"/>
        <v>0.11758548187330917</v>
      </c>
      <c r="N86" s="7">
        <f t="shared" si="7"/>
        <v>0.30454500000000001</v>
      </c>
      <c r="O86" s="8">
        <f t="shared" si="8"/>
        <v>552.78933219011969</v>
      </c>
      <c r="P86" s="10" t="s">
        <v>50</v>
      </c>
      <c r="Q86" s="10" t="s">
        <v>364</v>
      </c>
      <c r="R86" s="11" t="s">
        <v>365</v>
      </c>
      <c r="S86" s="10" t="s">
        <v>53</v>
      </c>
      <c r="T86" s="10" t="s">
        <v>41</v>
      </c>
      <c r="U86" s="10" t="s">
        <v>41</v>
      </c>
      <c r="V86" s="10" t="s">
        <v>43</v>
      </c>
      <c r="W86" s="10" t="s">
        <v>54</v>
      </c>
    </row>
    <row r="87" spans="1:23">
      <c r="A87" s="4" t="s">
        <v>366</v>
      </c>
      <c r="B87" s="5">
        <v>118</v>
      </c>
      <c r="C87" s="10" t="s">
        <v>367</v>
      </c>
      <c r="D87" s="10" t="s">
        <v>48</v>
      </c>
      <c r="E87" s="10" t="s">
        <v>34</v>
      </c>
      <c r="F87" s="10" t="s">
        <v>35</v>
      </c>
      <c r="G87" s="10" t="s">
        <v>209</v>
      </c>
      <c r="H87" s="6">
        <v>-14.3580144</v>
      </c>
      <c r="I87" s="6">
        <v>-170.78197650000001</v>
      </c>
      <c r="J87" s="5">
        <v>1195</v>
      </c>
      <c r="K87" s="5">
        <v>104</v>
      </c>
      <c r="L87" s="5">
        <v>1041195</v>
      </c>
      <c r="M87" s="7">
        <f t="shared" si="6"/>
        <v>0.40200763696360187</v>
      </c>
      <c r="N87" s="7">
        <f t="shared" si="7"/>
        <v>1.0411950000000001</v>
      </c>
      <c r="O87" s="8">
        <f t="shared" si="8"/>
        <v>2972.5803445574752</v>
      </c>
      <c r="P87" s="10" t="s">
        <v>50</v>
      </c>
      <c r="Q87" s="10" t="s">
        <v>368</v>
      </c>
      <c r="R87" s="11" t="s">
        <v>369</v>
      </c>
      <c r="S87" s="10" t="s">
        <v>53</v>
      </c>
      <c r="T87" s="10" t="s">
        <v>41</v>
      </c>
      <c r="U87" s="10" t="s">
        <v>41</v>
      </c>
      <c r="V87" s="10" t="s">
        <v>43</v>
      </c>
      <c r="W87" s="10" t="s">
        <v>370</v>
      </c>
    </row>
    <row r="88" spans="1:23">
      <c r="A88" s="4" t="s">
        <v>371</v>
      </c>
      <c r="B88" s="5">
        <v>258</v>
      </c>
      <c r="C88" s="10" t="s">
        <v>372</v>
      </c>
      <c r="D88" s="10" t="s">
        <v>48</v>
      </c>
      <c r="E88" s="10" t="s">
        <v>34</v>
      </c>
      <c r="F88" s="10" t="s">
        <v>35</v>
      </c>
      <c r="G88" s="10" t="s">
        <v>187</v>
      </c>
      <c r="H88" s="6">
        <v>-14.3623365</v>
      </c>
      <c r="I88" s="6">
        <v>-170.74152649999999</v>
      </c>
      <c r="J88" s="5">
        <v>1921</v>
      </c>
      <c r="K88" s="5">
        <v>184</v>
      </c>
      <c r="L88" s="5">
        <v>3551182</v>
      </c>
      <c r="M88" s="7">
        <f t="shared" si="6"/>
        <v>1.3711190355770799</v>
      </c>
      <c r="N88" s="7">
        <f t="shared" si="7"/>
        <v>3.5511819999999998</v>
      </c>
      <c r="O88" s="8">
        <f t="shared" si="8"/>
        <v>1401.0453871289774</v>
      </c>
      <c r="P88" s="10" t="s">
        <v>50</v>
      </c>
      <c r="Q88" s="10" t="s">
        <v>373</v>
      </c>
      <c r="R88" s="11" t="s">
        <v>374</v>
      </c>
      <c r="S88" s="10" t="s">
        <v>53</v>
      </c>
      <c r="T88" s="10" t="s">
        <v>41</v>
      </c>
      <c r="U88" s="10" t="s">
        <v>41</v>
      </c>
      <c r="V88" s="10" t="s">
        <v>43</v>
      </c>
      <c r="W88" s="10" t="s">
        <v>54</v>
      </c>
    </row>
    <row r="89" spans="1:23">
      <c r="A89" s="4" t="s">
        <v>375</v>
      </c>
      <c r="B89" s="5">
        <v>74</v>
      </c>
      <c r="C89" s="10" t="s">
        <v>376</v>
      </c>
      <c r="D89" s="10" t="s">
        <v>48</v>
      </c>
      <c r="E89" s="10" t="s">
        <v>34</v>
      </c>
      <c r="F89" s="10" t="s">
        <v>57</v>
      </c>
      <c r="G89" s="10" t="s">
        <v>63</v>
      </c>
      <c r="H89" s="6">
        <v>-14.234840500000001</v>
      </c>
      <c r="I89" s="6">
        <v>-170.6709625</v>
      </c>
      <c r="J89" s="5">
        <v>460</v>
      </c>
      <c r="K89" s="5">
        <v>52</v>
      </c>
      <c r="L89" s="5">
        <v>6464464</v>
      </c>
      <c r="M89" s="7">
        <f t="shared" si="6"/>
        <v>2.4959435042199334</v>
      </c>
      <c r="N89" s="7">
        <f t="shared" si="7"/>
        <v>6.4644640000000004</v>
      </c>
      <c r="O89" s="8">
        <f t="shared" si="8"/>
        <v>184.29904331659364</v>
      </c>
      <c r="P89" s="10" t="s">
        <v>50</v>
      </c>
      <c r="Q89" s="10" t="s">
        <v>377</v>
      </c>
      <c r="R89" s="11" t="s">
        <v>378</v>
      </c>
      <c r="S89" s="10" t="s">
        <v>53</v>
      </c>
      <c r="T89" s="10" t="s">
        <v>41</v>
      </c>
      <c r="U89" s="10" t="s">
        <v>41</v>
      </c>
      <c r="V89" s="10" t="s">
        <v>43</v>
      </c>
      <c r="W89" s="10" t="s">
        <v>54</v>
      </c>
    </row>
  </sheetData>
  <mergeCells count="3">
    <mergeCell ref="A1:W1"/>
    <mergeCell ref="A2:W2"/>
    <mergeCell ref="A3:W3"/>
  </mergeCells>
  <conditionalFormatting sqref="S8:S89">
    <cfRule type="containsText" dxfId="1" priority="1" operator="containsText" text="Review locality match"/>
    <cfRule type="containsText" dxfId="0" priority="2" operator="containsText" text="Parent / combined geography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4" customWidth="1"/>
    <col min="2" max="2" width="12" customWidth="1"/>
    <col min="3" max="3" width="18" customWidth="1"/>
    <col min="4" max="4" width="27" customWidth="1"/>
    <col min="5" max="5" width="23" customWidth="1"/>
    <col min="6" max="7" width="12" customWidth="1"/>
    <col min="8" max="8" width="15" customWidth="1"/>
    <col min="9" max="9" width="18" customWidth="1"/>
    <col min="10" max="10" width="17" customWidth="1"/>
    <col min="11" max="12" width="16" customWidth="1"/>
    <col min="13" max="13" width="18" customWidth="1"/>
    <col min="14" max="14" width="25" customWidth="1"/>
    <col min="15" max="15" width="18" customWidth="1"/>
    <col min="16" max="16" width="23" customWidth="1"/>
  </cols>
  <sheetData>
    <row r="1" spans="1:16" ht="34.049999999999997" customHeight="1">
      <c r="A1" s="15" t="s">
        <v>379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0" customHeight="1">
      <c r="A2" s="16" t="s">
        <v>380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14.4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25.95" customHeight="1">
      <c r="A4" s="1" t="s">
        <v>381</v>
      </c>
      <c r="B4" s="2">
        <v>77</v>
      </c>
      <c r="C4" s="1" t="s">
        <v>6</v>
      </c>
      <c r="D4" s="2">
        <v>49710</v>
      </c>
      <c r="E4" s="1" t="s">
        <v>7</v>
      </c>
      <c r="F4" s="2">
        <v>4569</v>
      </c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ht="43.95" customHeight="1">
      <c r="A5" s="3" t="s">
        <v>382</v>
      </c>
      <c r="B5" s="3" t="s">
        <v>383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27</v>
      </c>
      <c r="P5" s="3" t="s">
        <v>29</v>
      </c>
    </row>
    <row r="6" spans="1:16">
      <c r="A6" s="4" t="s">
        <v>32</v>
      </c>
      <c r="B6" s="9" t="s">
        <v>39</v>
      </c>
      <c r="C6" s="10" t="s">
        <v>34</v>
      </c>
      <c r="D6" s="10" t="s">
        <v>35</v>
      </c>
      <c r="E6" s="10" t="s">
        <v>36</v>
      </c>
      <c r="F6" s="6">
        <v>-14.301274100000001</v>
      </c>
      <c r="G6" s="6">
        <v>-170.7626071</v>
      </c>
      <c r="H6" s="5">
        <v>425</v>
      </c>
      <c r="I6" s="5">
        <v>55</v>
      </c>
      <c r="J6" s="5">
        <v>9307060</v>
      </c>
      <c r="K6" s="7">
        <f t="shared" ref="K6:K37" si="0">IF(J6=0,0,J6/2589988.110336)</f>
        <v>3.5934759556840561</v>
      </c>
      <c r="L6" s="7">
        <f t="shared" ref="L6:L37" si="1">IF(J6=0,0,J6/1000000)</f>
        <v>9.3070599999999999</v>
      </c>
      <c r="M6" s="8">
        <f t="shared" ref="M6:M37" si="2">IF(K6=0,0,H6/K6)</f>
        <v>118.26988833130977</v>
      </c>
      <c r="N6" s="4" t="s">
        <v>50</v>
      </c>
      <c r="O6" s="4" t="s">
        <v>41</v>
      </c>
      <c r="P6" s="4" t="s">
        <v>43</v>
      </c>
    </row>
    <row r="7" spans="1:16">
      <c r="A7" s="4" t="s">
        <v>47</v>
      </c>
      <c r="B7" s="9" t="s">
        <v>52</v>
      </c>
      <c r="C7" s="10" t="s">
        <v>34</v>
      </c>
      <c r="D7" s="10" t="s">
        <v>35</v>
      </c>
      <c r="E7" s="10" t="s">
        <v>49</v>
      </c>
      <c r="F7" s="6">
        <v>-14.3318952</v>
      </c>
      <c r="G7" s="6">
        <v>-170.8030789</v>
      </c>
      <c r="H7" s="5">
        <v>96</v>
      </c>
      <c r="I7" s="5">
        <v>7</v>
      </c>
      <c r="J7" s="5">
        <v>1408628</v>
      </c>
      <c r="K7" s="7">
        <f t="shared" si="0"/>
        <v>0.54387431138332842</v>
      </c>
      <c r="L7" s="7">
        <f t="shared" si="1"/>
        <v>1.408628</v>
      </c>
      <c r="M7" s="8">
        <f t="shared" si="2"/>
        <v>176.5113703492022</v>
      </c>
      <c r="N7" s="4" t="s">
        <v>50</v>
      </c>
      <c r="O7" s="4" t="s">
        <v>41</v>
      </c>
      <c r="P7" s="4" t="s">
        <v>43</v>
      </c>
    </row>
    <row r="8" spans="1:16">
      <c r="A8" s="4" t="s">
        <v>56</v>
      </c>
      <c r="B8" s="9" t="s">
        <v>60</v>
      </c>
      <c r="C8" s="10" t="s">
        <v>34</v>
      </c>
      <c r="D8" s="10" t="s">
        <v>57</v>
      </c>
      <c r="E8" s="10" t="s">
        <v>58</v>
      </c>
      <c r="F8" s="6">
        <v>-14.2572259</v>
      </c>
      <c r="G8" s="6">
        <v>-170.64518620000001</v>
      </c>
      <c r="H8" s="5">
        <v>327</v>
      </c>
      <c r="I8" s="5">
        <v>24</v>
      </c>
      <c r="J8" s="5">
        <v>2675455</v>
      </c>
      <c r="K8" s="7">
        <f t="shared" si="0"/>
        <v>1.0329989505831794</v>
      </c>
      <c r="L8" s="7">
        <f t="shared" si="1"/>
        <v>2.6754549999999999</v>
      </c>
      <c r="M8" s="8">
        <f t="shared" si="2"/>
        <v>316.55404859355588</v>
      </c>
      <c r="N8" s="4" t="s">
        <v>50</v>
      </c>
      <c r="O8" s="4" t="s">
        <v>41</v>
      </c>
      <c r="P8" s="4" t="s">
        <v>43</v>
      </c>
    </row>
    <row r="9" spans="1:16">
      <c r="A9" s="4" t="s">
        <v>384</v>
      </c>
      <c r="B9" s="9" t="s">
        <v>385</v>
      </c>
      <c r="C9" s="10" t="s">
        <v>34</v>
      </c>
      <c r="D9" s="10" t="s">
        <v>35</v>
      </c>
      <c r="E9" s="10" t="s">
        <v>49</v>
      </c>
      <c r="F9" s="6">
        <v>-14.3317867</v>
      </c>
      <c r="G9" s="6">
        <v>-170.81830980000001</v>
      </c>
      <c r="H9" s="5">
        <v>42</v>
      </c>
      <c r="I9" s="5">
        <v>3</v>
      </c>
      <c r="J9" s="5">
        <v>398931</v>
      </c>
      <c r="K9" s="7">
        <f t="shared" si="0"/>
        <v>0.15402812020949647</v>
      </c>
      <c r="L9" s="7">
        <f t="shared" si="1"/>
        <v>0.39893099999999998</v>
      </c>
      <c r="M9" s="8">
        <f t="shared" si="2"/>
        <v>272.67748215634282</v>
      </c>
      <c r="N9" s="4" t="s">
        <v>50</v>
      </c>
      <c r="O9" s="4" t="s">
        <v>41</v>
      </c>
      <c r="P9" s="4" t="s">
        <v>43</v>
      </c>
    </row>
    <row r="10" spans="1:16">
      <c r="A10" s="4" t="s">
        <v>62</v>
      </c>
      <c r="B10" s="9" t="s">
        <v>65</v>
      </c>
      <c r="C10" s="10" t="s">
        <v>34</v>
      </c>
      <c r="D10" s="10" t="s">
        <v>57</v>
      </c>
      <c r="E10" s="10" t="s">
        <v>63</v>
      </c>
      <c r="F10" s="6">
        <v>-14.26826</v>
      </c>
      <c r="G10" s="6">
        <v>-170.56522340000001</v>
      </c>
      <c r="H10" s="5">
        <v>275</v>
      </c>
      <c r="I10" s="5">
        <v>19</v>
      </c>
      <c r="J10" s="5">
        <v>1362715</v>
      </c>
      <c r="K10" s="7">
        <f t="shared" si="0"/>
        <v>0.52614720297816908</v>
      </c>
      <c r="L10" s="7">
        <f t="shared" si="1"/>
        <v>1.3627149999999999</v>
      </c>
      <c r="M10" s="8">
        <f t="shared" si="2"/>
        <v>522.66741786976741</v>
      </c>
      <c r="N10" s="4" t="s">
        <v>50</v>
      </c>
      <c r="O10" s="4" t="s">
        <v>41</v>
      </c>
      <c r="P10" s="4" t="s">
        <v>43</v>
      </c>
    </row>
    <row r="11" spans="1:16">
      <c r="A11" s="4" t="s">
        <v>67</v>
      </c>
      <c r="B11" s="9" t="s">
        <v>69</v>
      </c>
      <c r="C11" s="10" t="s">
        <v>34</v>
      </c>
      <c r="D11" s="10" t="s">
        <v>57</v>
      </c>
      <c r="E11" s="10" t="s">
        <v>58</v>
      </c>
      <c r="F11" s="6">
        <v>-14.2810559</v>
      </c>
      <c r="G11" s="6">
        <v>-170.63433409999999</v>
      </c>
      <c r="H11" s="5">
        <v>29</v>
      </c>
      <c r="I11" s="5">
        <v>2</v>
      </c>
      <c r="J11" s="5">
        <v>1006574</v>
      </c>
      <c r="K11" s="7">
        <f t="shared" si="0"/>
        <v>0.38864039413270385</v>
      </c>
      <c r="L11" s="7">
        <f t="shared" si="1"/>
        <v>1.0065740000000001</v>
      </c>
      <c r="M11" s="8">
        <f t="shared" si="2"/>
        <v>74.619109176020842</v>
      </c>
      <c r="N11" s="4" t="s">
        <v>50</v>
      </c>
      <c r="O11" s="4" t="s">
        <v>41</v>
      </c>
      <c r="P11" s="4" t="s">
        <v>43</v>
      </c>
    </row>
    <row r="12" spans="1:16">
      <c r="A12" s="4" t="s">
        <v>71</v>
      </c>
      <c r="B12" s="9" t="s">
        <v>74</v>
      </c>
      <c r="C12" s="10" t="s">
        <v>34</v>
      </c>
      <c r="D12" s="10" t="s">
        <v>57</v>
      </c>
      <c r="E12" s="10" t="s">
        <v>72</v>
      </c>
      <c r="F12" s="6">
        <v>-14.280377</v>
      </c>
      <c r="G12" s="6">
        <v>-170.60455830000001</v>
      </c>
      <c r="H12" s="5">
        <v>296</v>
      </c>
      <c r="I12" s="5">
        <v>23</v>
      </c>
      <c r="J12" s="5">
        <v>1296946</v>
      </c>
      <c r="K12" s="7">
        <f t="shared" si="0"/>
        <v>0.500753650112991</v>
      </c>
      <c r="L12" s="7">
        <f t="shared" si="1"/>
        <v>1.2969459999999999</v>
      </c>
      <c r="M12" s="8">
        <f t="shared" si="2"/>
        <v>591.10902123870687</v>
      </c>
      <c r="N12" s="4" t="s">
        <v>50</v>
      </c>
      <c r="O12" s="4" t="s">
        <v>41</v>
      </c>
      <c r="P12" s="4" t="s">
        <v>43</v>
      </c>
    </row>
    <row r="13" spans="1:16">
      <c r="A13" s="4" t="s">
        <v>76</v>
      </c>
      <c r="B13" s="9" t="s">
        <v>78</v>
      </c>
      <c r="C13" s="10" t="s">
        <v>34</v>
      </c>
      <c r="D13" s="10" t="s">
        <v>35</v>
      </c>
      <c r="E13" s="10" t="s">
        <v>49</v>
      </c>
      <c r="F13" s="6">
        <v>-14.335671899999999</v>
      </c>
      <c r="G13" s="6">
        <v>-170.79031660000001</v>
      </c>
      <c r="H13" s="5">
        <v>163</v>
      </c>
      <c r="I13" s="5">
        <v>18</v>
      </c>
      <c r="J13" s="5">
        <v>2014091</v>
      </c>
      <c r="K13" s="7">
        <f t="shared" si="0"/>
        <v>0.77764488260091325</v>
      </c>
      <c r="L13" s="7">
        <f t="shared" si="1"/>
        <v>2.0140910000000001</v>
      </c>
      <c r="M13" s="8">
        <f t="shared" si="2"/>
        <v>209.60724316069533</v>
      </c>
      <c r="N13" s="4" t="s">
        <v>50</v>
      </c>
      <c r="O13" s="4" t="s">
        <v>41</v>
      </c>
      <c r="P13" s="4" t="s">
        <v>43</v>
      </c>
    </row>
    <row r="14" spans="1:16">
      <c r="A14" s="4" t="s">
        <v>80</v>
      </c>
      <c r="B14" s="9" t="s">
        <v>82</v>
      </c>
      <c r="C14" s="10" t="s">
        <v>34</v>
      </c>
      <c r="D14" s="10" t="s">
        <v>35</v>
      </c>
      <c r="E14" s="10" t="s">
        <v>49</v>
      </c>
      <c r="F14" s="6">
        <v>-14.3228691</v>
      </c>
      <c r="G14" s="6">
        <v>-170.84499640000001</v>
      </c>
      <c r="H14" s="5">
        <v>246</v>
      </c>
      <c r="I14" s="5">
        <v>25</v>
      </c>
      <c r="J14" s="5">
        <v>787324</v>
      </c>
      <c r="K14" s="7">
        <f t="shared" si="0"/>
        <v>0.30398749587227264</v>
      </c>
      <c r="L14" s="7">
        <f t="shared" si="1"/>
        <v>0.78732400000000002</v>
      </c>
      <c r="M14" s="8">
        <f t="shared" si="2"/>
        <v>809.24381213154436</v>
      </c>
      <c r="N14" s="4" t="s">
        <v>50</v>
      </c>
      <c r="O14" s="4" t="s">
        <v>41</v>
      </c>
      <c r="P14" s="4" t="s">
        <v>43</v>
      </c>
    </row>
    <row r="15" spans="1:16">
      <c r="A15" s="4" t="s">
        <v>84</v>
      </c>
      <c r="B15" s="9" t="s">
        <v>86</v>
      </c>
      <c r="C15" s="10" t="s">
        <v>34</v>
      </c>
      <c r="D15" s="10" t="s">
        <v>57</v>
      </c>
      <c r="E15" s="10" t="s">
        <v>58</v>
      </c>
      <c r="F15" s="6">
        <v>-14.2681144</v>
      </c>
      <c r="G15" s="6">
        <v>-170.62570579999999</v>
      </c>
      <c r="H15" s="5">
        <v>68</v>
      </c>
      <c r="I15" s="5">
        <v>8</v>
      </c>
      <c r="J15" s="5">
        <v>796618</v>
      </c>
      <c r="K15" s="7">
        <f t="shared" si="0"/>
        <v>0.3075759293337661</v>
      </c>
      <c r="L15" s="7">
        <f t="shared" si="1"/>
        <v>0.79661800000000005</v>
      </c>
      <c r="M15" s="8">
        <f t="shared" si="2"/>
        <v>221.08362038373224</v>
      </c>
      <c r="N15" s="4" t="s">
        <v>50</v>
      </c>
      <c r="O15" s="4" t="s">
        <v>41</v>
      </c>
      <c r="P15" s="4" t="s">
        <v>43</v>
      </c>
    </row>
    <row r="16" spans="1:16">
      <c r="A16" s="4" t="s">
        <v>88</v>
      </c>
      <c r="B16" s="9" t="s">
        <v>90</v>
      </c>
      <c r="C16" s="10" t="s">
        <v>34</v>
      </c>
      <c r="D16" s="10" t="s">
        <v>57</v>
      </c>
      <c r="E16" s="10" t="s">
        <v>72</v>
      </c>
      <c r="F16" s="6">
        <v>-14.274342900000001</v>
      </c>
      <c r="G16" s="6">
        <v>-170.57806339999999</v>
      </c>
      <c r="H16" s="5">
        <v>261</v>
      </c>
      <c r="I16" s="5">
        <v>15</v>
      </c>
      <c r="J16" s="5">
        <v>1705035</v>
      </c>
      <c r="K16" s="7">
        <f t="shared" si="0"/>
        <v>0.65831769389041916</v>
      </c>
      <c r="L16" s="7">
        <f t="shared" si="1"/>
        <v>1.7050350000000001</v>
      </c>
      <c r="M16" s="8">
        <f t="shared" si="2"/>
        <v>396.46511467371403</v>
      </c>
      <c r="N16" s="4" t="s">
        <v>50</v>
      </c>
      <c r="O16" s="4" t="s">
        <v>41</v>
      </c>
      <c r="P16" s="4" t="s">
        <v>43</v>
      </c>
    </row>
    <row r="17" spans="1:16">
      <c r="A17" s="4" t="s">
        <v>386</v>
      </c>
      <c r="B17" s="9" t="s">
        <v>387</v>
      </c>
      <c r="C17" s="10" t="s">
        <v>34</v>
      </c>
      <c r="D17" s="10" t="s">
        <v>57</v>
      </c>
      <c r="E17" s="10" t="s">
        <v>106</v>
      </c>
      <c r="F17" s="6">
        <v>-14.271027</v>
      </c>
      <c r="G17" s="6">
        <v>-170.6873951</v>
      </c>
      <c r="H17" s="5">
        <v>473</v>
      </c>
      <c r="I17" s="5">
        <v>0</v>
      </c>
      <c r="J17" s="5">
        <v>180622</v>
      </c>
      <c r="K17" s="7">
        <f t="shared" si="0"/>
        <v>6.973854408025365E-2</v>
      </c>
      <c r="L17" s="7">
        <f t="shared" si="1"/>
        <v>0.180622</v>
      </c>
      <c r="M17" s="8">
        <f t="shared" si="2"/>
        <v>6782.4759785016668</v>
      </c>
      <c r="N17" s="4" t="s">
        <v>50</v>
      </c>
      <c r="O17" s="4" t="s">
        <v>41</v>
      </c>
      <c r="P17" s="4" t="s">
        <v>43</v>
      </c>
    </row>
    <row r="18" spans="1:16">
      <c r="A18" s="4" t="s">
        <v>92</v>
      </c>
      <c r="B18" s="9" t="s">
        <v>94</v>
      </c>
      <c r="C18" s="10" t="s">
        <v>34</v>
      </c>
      <c r="D18" s="10" t="s">
        <v>57</v>
      </c>
      <c r="E18" s="10" t="s">
        <v>63</v>
      </c>
      <c r="F18" s="6">
        <v>-14.268460299999999</v>
      </c>
      <c r="G18" s="6">
        <v>-170.5938123</v>
      </c>
      <c r="H18" s="5">
        <v>344</v>
      </c>
      <c r="I18" s="5">
        <v>27</v>
      </c>
      <c r="J18" s="5">
        <v>1723146</v>
      </c>
      <c r="K18" s="7">
        <f t="shared" si="0"/>
        <v>0.66531039008378134</v>
      </c>
      <c r="L18" s="7">
        <f t="shared" si="1"/>
        <v>1.7231460000000001</v>
      </c>
      <c r="M18" s="8">
        <f t="shared" si="2"/>
        <v>517.05189807223769</v>
      </c>
      <c r="N18" s="4" t="s">
        <v>50</v>
      </c>
      <c r="O18" s="4" t="s">
        <v>41</v>
      </c>
      <c r="P18" s="4" t="s">
        <v>43</v>
      </c>
    </row>
    <row r="19" spans="1:16">
      <c r="A19" s="4" t="s">
        <v>96</v>
      </c>
      <c r="B19" s="9" t="s">
        <v>98</v>
      </c>
      <c r="C19" s="10" t="s">
        <v>34</v>
      </c>
      <c r="D19" s="10" t="s">
        <v>35</v>
      </c>
      <c r="E19" s="10" t="s">
        <v>36</v>
      </c>
      <c r="F19" s="6">
        <v>-14.2882108</v>
      </c>
      <c r="G19" s="6">
        <v>-170.78117</v>
      </c>
      <c r="H19" s="5">
        <v>650</v>
      </c>
      <c r="I19" s="5">
        <v>58</v>
      </c>
      <c r="J19" s="5">
        <v>5811947</v>
      </c>
      <c r="K19" s="7">
        <f t="shared" si="0"/>
        <v>2.2440052820342924</v>
      </c>
      <c r="L19" s="7">
        <f t="shared" si="1"/>
        <v>5.811947</v>
      </c>
      <c r="M19" s="8">
        <f t="shared" si="2"/>
        <v>289.6606372560521</v>
      </c>
      <c r="N19" s="4" t="s">
        <v>50</v>
      </c>
      <c r="O19" s="4" t="s">
        <v>41</v>
      </c>
      <c r="P19" s="4" t="s">
        <v>43</v>
      </c>
    </row>
    <row r="20" spans="1:16">
      <c r="A20" s="4" t="s">
        <v>101</v>
      </c>
      <c r="B20" s="9" t="s">
        <v>103</v>
      </c>
      <c r="C20" s="10" t="s">
        <v>34</v>
      </c>
      <c r="D20" s="10" t="s">
        <v>35</v>
      </c>
      <c r="E20" s="10" t="s">
        <v>49</v>
      </c>
      <c r="F20" s="6">
        <v>-14.3332845</v>
      </c>
      <c r="G20" s="6">
        <v>-170.7947738</v>
      </c>
      <c r="H20" s="5">
        <v>157</v>
      </c>
      <c r="I20" s="5">
        <v>15</v>
      </c>
      <c r="J20" s="5">
        <v>1387610</v>
      </c>
      <c r="K20" s="7">
        <f t="shared" si="0"/>
        <v>0.53575921621508327</v>
      </c>
      <c r="L20" s="7">
        <f t="shared" si="1"/>
        <v>1.38761</v>
      </c>
      <c r="M20" s="8">
        <f t="shared" si="2"/>
        <v>293.04208914806901</v>
      </c>
      <c r="N20" s="4" t="s">
        <v>50</v>
      </c>
      <c r="O20" s="4" t="s">
        <v>41</v>
      </c>
      <c r="P20" s="4" t="s">
        <v>43</v>
      </c>
    </row>
    <row r="21" spans="1:16">
      <c r="A21" s="4" t="s">
        <v>105</v>
      </c>
      <c r="B21" s="9" t="s">
        <v>108</v>
      </c>
      <c r="C21" s="10" t="s">
        <v>34</v>
      </c>
      <c r="D21" s="10" t="s">
        <v>57</v>
      </c>
      <c r="E21" s="10" t="s">
        <v>106</v>
      </c>
      <c r="F21" s="6">
        <v>-14.2675693</v>
      </c>
      <c r="G21" s="6">
        <v>-170.6861806</v>
      </c>
      <c r="H21" s="5">
        <v>236</v>
      </c>
      <c r="I21" s="5">
        <v>19</v>
      </c>
      <c r="J21" s="5">
        <v>155820</v>
      </c>
      <c r="K21" s="7">
        <f t="shared" si="0"/>
        <v>6.0162438344083913E-2</v>
      </c>
      <c r="L21" s="7">
        <f t="shared" si="1"/>
        <v>0.15581999999999999</v>
      </c>
      <c r="M21" s="8">
        <f t="shared" si="2"/>
        <v>3922.7133489879093</v>
      </c>
      <c r="N21" s="4" t="s">
        <v>50</v>
      </c>
      <c r="O21" s="4" t="s">
        <v>41</v>
      </c>
      <c r="P21" s="4" t="s">
        <v>43</v>
      </c>
    </row>
    <row r="22" spans="1:16">
      <c r="A22" s="4" t="s">
        <v>110</v>
      </c>
      <c r="B22" s="9" t="s">
        <v>112</v>
      </c>
      <c r="C22" s="10" t="s">
        <v>34</v>
      </c>
      <c r="D22" s="10" t="s">
        <v>57</v>
      </c>
      <c r="E22" s="10" t="s">
        <v>106</v>
      </c>
      <c r="F22" s="6">
        <v>-14.274721899999999</v>
      </c>
      <c r="G22" s="6">
        <v>-170.6608597</v>
      </c>
      <c r="H22" s="5">
        <v>1549</v>
      </c>
      <c r="I22" s="5">
        <v>133</v>
      </c>
      <c r="J22" s="5">
        <v>2612476</v>
      </c>
      <c r="K22" s="7">
        <f t="shared" si="0"/>
        <v>1.0086826227403347</v>
      </c>
      <c r="L22" s="7">
        <f t="shared" si="1"/>
        <v>2.612476</v>
      </c>
      <c r="M22" s="8">
        <f t="shared" si="2"/>
        <v>1535.66638809714</v>
      </c>
      <c r="N22" s="4" t="s">
        <v>50</v>
      </c>
      <c r="O22" s="4" t="s">
        <v>41</v>
      </c>
      <c r="P22" s="4" t="s">
        <v>43</v>
      </c>
    </row>
    <row r="23" spans="1:16">
      <c r="A23" s="4" t="s">
        <v>114</v>
      </c>
      <c r="B23" s="9" t="s">
        <v>116</v>
      </c>
      <c r="C23" s="10" t="s">
        <v>34</v>
      </c>
      <c r="D23" s="10" t="s">
        <v>57</v>
      </c>
      <c r="E23" s="10" t="s">
        <v>72</v>
      </c>
      <c r="F23" s="6">
        <v>-14.267851500000001</v>
      </c>
      <c r="G23" s="6">
        <v>-170.57782539999999</v>
      </c>
      <c r="H23" s="5">
        <v>88</v>
      </c>
      <c r="I23" s="5">
        <v>5</v>
      </c>
      <c r="J23" s="5">
        <v>664202</v>
      </c>
      <c r="K23" s="7">
        <f t="shared" si="0"/>
        <v>0.25644982590820958</v>
      </c>
      <c r="L23" s="7">
        <f t="shared" si="1"/>
        <v>0.66420199999999996</v>
      </c>
      <c r="M23" s="8">
        <f t="shared" si="2"/>
        <v>343.14704519042101</v>
      </c>
      <c r="N23" s="4" t="s">
        <v>50</v>
      </c>
      <c r="O23" s="4" t="s">
        <v>41</v>
      </c>
      <c r="P23" s="4" t="s">
        <v>43</v>
      </c>
    </row>
    <row r="24" spans="1:16">
      <c r="A24" s="4" t="s">
        <v>118</v>
      </c>
      <c r="B24" s="9" t="s">
        <v>120</v>
      </c>
      <c r="C24" s="10" t="s">
        <v>34</v>
      </c>
      <c r="D24" s="10" t="s">
        <v>35</v>
      </c>
      <c r="E24" s="10" t="s">
        <v>49</v>
      </c>
      <c r="F24" s="6">
        <v>-14.3323249</v>
      </c>
      <c r="G24" s="6">
        <v>-170.78609510000001</v>
      </c>
      <c r="H24" s="5">
        <v>242</v>
      </c>
      <c r="I24" s="5">
        <v>29</v>
      </c>
      <c r="J24" s="5">
        <v>331534</v>
      </c>
      <c r="K24" s="7">
        <f t="shared" si="0"/>
        <v>0.12800599303021123</v>
      </c>
      <c r="L24" s="7">
        <f t="shared" si="1"/>
        <v>0.331534</v>
      </c>
      <c r="M24" s="8">
        <f t="shared" si="2"/>
        <v>1890.5364840448101</v>
      </c>
      <c r="N24" s="4" t="s">
        <v>50</v>
      </c>
      <c r="O24" s="4" t="s">
        <v>41</v>
      </c>
      <c r="P24" s="4" t="s">
        <v>43</v>
      </c>
    </row>
    <row r="25" spans="1:16">
      <c r="A25" s="4" t="s">
        <v>388</v>
      </c>
      <c r="B25" s="9" t="s">
        <v>389</v>
      </c>
      <c r="C25" s="10" t="s">
        <v>34</v>
      </c>
      <c r="D25" s="10" t="s">
        <v>57</v>
      </c>
      <c r="E25" s="10" t="s">
        <v>58</v>
      </c>
      <c r="F25" s="6">
        <v>-14.2879653</v>
      </c>
      <c r="G25" s="6">
        <v>-170.6454142</v>
      </c>
      <c r="H25" s="5">
        <v>176</v>
      </c>
      <c r="I25" s="5">
        <v>22</v>
      </c>
      <c r="J25" s="5">
        <v>1818923</v>
      </c>
      <c r="K25" s="7">
        <f t="shared" si="0"/>
        <v>0.70229009652250118</v>
      </c>
      <c r="L25" s="7">
        <f t="shared" si="1"/>
        <v>1.8189230000000001</v>
      </c>
      <c r="M25" s="8">
        <f t="shared" si="2"/>
        <v>250.60868844867872</v>
      </c>
      <c r="N25" s="4" t="s">
        <v>50</v>
      </c>
      <c r="O25" s="4" t="s">
        <v>41</v>
      </c>
      <c r="P25" s="4" t="s">
        <v>43</v>
      </c>
    </row>
    <row r="26" spans="1:16">
      <c r="A26" s="4" t="s">
        <v>122</v>
      </c>
      <c r="B26" s="9" t="s">
        <v>125</v>
      </c>
      <c r="C26" s="10" t="s">
        <v>123</v>
      </c>
      <c r="D26" s="10" t="s">
        <v>57</v>
      </c>
      <c r="E26" s="10" t="s">
        <v>72</v>
      </c>
      <c r="F26" s="6">
        <v>-14.2883213</v>
      </c>
      <c r="G26" s="6">
        <v>-170.5564138</v>
      </c>
      <c r="H26" s="5">
        <v>402</v>
      </c>
      <c r="I26" s="5">
        <v>46</v>
      </c>
      <c r="J26" s="5">
        <v>1507283</v>
      </c>
      <c r="K26" s="7">
        <f t="shared" si="0"/>
        <v>0.58196521983433336</v>
      </c>
      <c r="L26" s="7">
        <f t="shared" si="1"/>
        <v>1.5072829999999999</v>
      </c>
      <c r="M26" s="8">
        <f t="shared" si="2"/>
        <v>690.76292929401586</v>
      </c>
      <c r="N26" s="4" t="s">
        <v>50</v>
      </c>
      <c r="O26" s="4" t="s">
        <v>41</v>
      </c>
      <c r="P26" s="4" t="s">
        <v>43</v>
      </c>
    </row>
    <row r="27" spans="1:16">
      <c r="A27" s="4" t="s">
        <v>127</v>
      </c>
      <c r="B27" s="9" t="s">
        <v>129</v>
      </c>
      <c r="C27" s="10" t="s">
        <v>34</v>
      </c>
      <c r="D27" s="10" t="s">
        <v>57</v>
      </c>
      <c r="E27" s="10" t="s">
        <v>58</v>
      </c>
      <c r="F27" s="6">
        <v>-14.271559999999999</v>
      </c>
      <c r="G27" s="6">
        <v>-170.63077519999999</v>
      </c>
      <c r="H27" s="5">
        <v>214</v>
      </c>
      <c r="I27" s="5">
        <v>15</v>
      </c>
      <c r="J27" s="5">
        <v>859621</v>
      </c>
      <c r="K27" s="7">
        <f t="shared" si="0"/>
        <v>0.33190152362841585</v>
      </c>
      <c r="L27" s="7">
        <f t="shared" si="1"/>
        <v>0.85962099999999997</v>
      </c>
      <c r="M27" s="8">
        <f t="shared" si="2"/>
        <v>644.76956194870058</v>
      </c>
      <c r="N27" s="4" t="s">
        <v>50</v>
      </c>
      <c r="O27" s="4" t="s">
        <v>41</v>
      </c>
      <c r="P27" s="4" t="s">
        <v>43</v>
      </c>
    </row>
    <row r="28" spans="1:16">
      <c r="A28" s="4" t="s">
        <v>131</v>
      </c>
      <c r="B28" s="9" t="s">
        <v>133</v>
      </c>
      <c r="C28" s="10" t="s">
        <v>34</v>
      </c>
      <c r="D28" s="10" t="s">
        <v>57</v>
      </c>
      <c r="E28" s="10" t="s">
        <v>58</v>
      </c>
      <c r="F28" s="6">
        <v>-14.281478699999999</v>
      </c>
      <c r="G28" s="6">
        <v>-170.63165670000001</v>
      </c>
      <c r="H28" s="5">
        <v>34</v>
      </c>
      <c r="I28" s="5">
        <v>3</v>
      </c>
      <c r="J28" s="5">
        <v>721414</v>
      </c>
      <c r="K28" s="7">
        <f t="shared" si="0"/>
        <v>0.27853950260274002</v>
      </c>
      <c r="L28" s="7">
        <f t="shared" si="1"/>
        <v>0.721414</v>
      </c>
      <c r="M28" s="8">
        <f t="shared" si="2"/>
        <v>122.06527146884314</v>
      </c>
      <c r="N28" s="4" t="s">
        <v>50</v>
      </c>
      <c r="O28" s="4" t="s">
        <v>41</v>
      </c>
      <c r="P28" s="4" t="s">
        <v>43</v>
      </c>
    </row>
    <row r="29" spans="1:16">
      <c r="A29" s="4" t="s">
        <v>142</v>
      </c>
      <c r="B29" s="9" t="s">
        <v>144</v>
      </c>
      <c r="C29" s="10" t="s">
        <v>34</v>
      </c>
      <c r="D29" s="10" t="s">
        <v>57</v>
      </c>
      <c r="E29" s="10" t="s">
        <v>106</v>
      </c>
      <c r="F29" s="6">
        <v>-14.2857156</v>
      </c>
      <c r="G29" s="6">
        <v>-170.67600540000001</v>
      </c>
      <c r="H29" s="5">
        <v>731</v>
      </c>
      <c r="I29" s="5">
        <v>68</v>
      </c>
      <c r="J29" s="5">
        <v>1330169</v>
      </c>
      <c r="K29" s="7">
        <f t="shared" si="0"/>
        <v>0.51358112212624663</v>
      </c>
      <c r="L29" s="7">
        <f t="shared" si="1"/>
        <v>1.3301689999999999</v>
      </c>
      <c r="M29" s="8">
        <f t="shared" si="2"/>
        <v>1423.3389205849903</v>
      </c>
      <c r="N29" s="4" t="s">
        <v>50</v>
      </c>
      <c r="O29" s="4" t="s">
        <v>41</v>
      </c>
      <c r="P29" s="4" t="s">
        <v>43</v>
      </c>
    </row>
    <row r="30" spans="1:16">
      <c r="A30" s="4" t="s">
        <v>151</v>
      </c>
      <c r="B30" s="9" t="s">
        <v>153</v>
      </c>
      <c r="C30" s="10" t="s">
        <v>34</v>
      </c>
      <c r="D30" s="10" t="s">
        <v>57</v>
      </c>
      <c r="E30" s="10" t="s">
        <v>58</v>
      </c>
      <c r="F30" s="6">
        <v>-14.2699228</v>
      </c>
      <c r="G30" s="6">
        <v>-170.61659109999999</v>
      </c>
      <c r="H30" s="5">
        <v>287</v>
      </c>
      <c r="I30" s="5">
        <v>26</v>
      </c>
      <c r="J30" s="5">
        <v>1021668</v>
      </c>
      <c r="K30" s="7">
        <f t="shared" si="0"/>
        <v>0.39446822011374355</v>
      </c>
      <c r="L30" s="7">
        <f t="shared" si="1"/>
        <v>1.021668</v>
      </c>
      <c r="M30" s="8">
        <f t="shared" si="2"/>
        <v>727.56177903823163</v>
      </c>
      <c r="N30" s="4" t="s">
        <v>50</v>
      </c>
      <c r="O30" s="4" t="s">
        <v>41</v>
      </c>
      <c r="P30" s="4" t="s">
        <v>43</v>
      </c>
    </row>
    <row r="31" spans="1:16">
      <c r="A31" s="4" t="s">
        <v>155</v>
      </c>
      <c r="B31" s="9" t="s">
        <v>157</v>
      </c>
      <c r="C31" s="10" t="s">
        <v>34</v>
      </c>
      <c r="D31" s="10" t="s">
        <v>35</v>
      </c>
      <c r="E31" s="10" t="s">
        <v>49</v>
      </c>
      <c r="F31" s="6">
        <v>-14.3037422</v>
      </c>
      <c r="G31" s="6">
        <v>-170.82335409999999</v>
      </c>
      <c r="H31" s="5">
        <v>163</v>
      </c>
      <c r="I31" s="5">
        <v>15</v>
      </c>
      <c r="J31" s="5">
        <v>1545662</v>
      </c>
      <c r="K31" s="7">
        <f t="shared" si="0"/>
        <v>0.59678343457703387</v>
      </c>
      <c r="L31" s="7">
        <f t="shared" si="1"/>
        <v>1.5456620000000001</v>
      </c>
      <c r="M31" s="8">
        <f t="shared" si="2"/>
        <v>273.13090571209489</v>
      </c>
      <c r="N31" s="4" t="s">
        <v>50</v>
      </c>
      <c r="O31" s="4" t="s">
        <v>41</v>
      </c>
      <c r="P31" s="4" t="s">
        <v>43</v>
      </c>
    </row>
    <row r="32" spans="1:16">
      <c r="A32" s="4" t="s">
        <v>159</v>
      </c>
      <c r="B32" s="9" t="s">
        <v>161</v>
      </c>
      <c r="C32" s="10" t="s">
        <v>34</v>
      </c>
      <c r="D32" s="10" t="s">
        <v>35</v>
      </c>
      <c r="E32" s="10" t="s">
        <v>49</v>
      </c>
      <c r="F32" s="6">
        <v>-14.2983048</v>
      </c>
      <c r="G32" s="6">
        <v>-170.8100388</v>
      </c>
      <c r="H32" s="5">
        <v>37</v>
      </c>
      <c r="I32" s="5">
        <v>3</v>
      </c>
      <c r="J32" s="5">
        <v>3596435</v>
      </c>
      <c r="K32" s="7">
        <f t="shared" si="0"/>
        <v>1.3885913165576012</v>
      </c>
      <c r="L32" s="7">
        <f t="shared" si="1"/>
        <v>3.596435</v>
      </c>
      <c r="M32" s="8">
        <f t="shared" si="2"/>
        <v>26.645708898515338</v>
      </c>
      <c r="N32" s="4" t="s">
        <v>50</v>
      </c>
      <c r="O32" s="4" t="s">
        <v>41</v>
      </c>
      <c r="P32" s="4" t="s">
        <v>43</v>
      </c>
    </row>
    <row r="33" spans="1:16">
      <c r="A33" s="4" t="s">
        <v>163</v>
      </c>
      <c r="B33" s="9" t="s">
        <v>166</v>
      </c>
      <c r="C33" s="10" t="s">
        <v>34</v>
      </c>
      <c r="D33" s="10" t="s">
        <v>57</v>
      </c>
      <c r="E33" s="10" t="s">
        <v>164</v>
      </c>
      <c r="F33" s="6">
        <v>-14.299430600000001</v>
      </c>
      <c r="G33" s="6">
        <v>-170.6968924</v>
      </c>
      <c r="H33" s="5">
        <v>93</v>
      </c>
      <c r="I33" s="5">
        <v>8</v>
      </c>
      <c r="J33" s="5">
        <v>1364619</v>
      </c>
      <c r="K33" s="7">
        <f t="shared" si="0"/>
        <v>0.52688234148803392</v>
      </c>
      <c r="L33" s="7">
        <f t="shared" si="1"/>
        <v>1.364619</v>
      </c>
      <c r="M33" s="8">
        <f t="shared" si="2"/>
        <v>176.50999602178189</v>
      </c>
      <c r="N33" s="4" t="s">
        <v>50</v>
      </c>
      <c r="O33" s="4" t="s">
        <v>41</v>
      </c>
      <c r="P33" s="4" t="s">
        <v>43</v>
      </c>
    </row>
    <row r="34" spans="1:16">
      <c r="A34" s="4" t="s">
        <v>168</v>
      </c>
      <c r="B34" s="9" t="s">
        <v>170</v>
      </c>
      <c r="C34" s="10" t="s">
        <v>34</v>
      </c>
      <c r="D34" s="10" t="s">
        <v>57</v>
      </c>
      <c r="E34" s="10" t="s">
        <v>164</v>
      </c>
      <c r="F34" s="6">
        <v>-14.280663300000001</v>
      </c>
      <c r="G34" s="6">
        <v>-170.732382</v>
      </c>
      <c r="H34" s="5">
        <v>577</v>
      </c>
      <c r="I34" s="5">
        <v>52</v>
      </c>
      <c r="J34" s="5">
        <v>4360989</v>
      </c>
      <c r="K34" s="7">
        <f t="shared" si="0"/>
        <v>1.6837872662798623</v>
      </c>
      <c r="L34" s="7">
        <f t="shared" si="1"/>
        <v>4.360989</v>
      </c>
      <c r="M34" s="8">
        <f t="shared" si="2"/>
        <v>342.67986909938827</v>
      </c>
      <c r="N34" s="4" t="s">
        <v>50</v>
      </c>
      <c r="O34" s="4" t="s">
        <v>41</v>
      </c>
      <c r="P34" s="4" t="s">
        <v>43</v>
      </c>
    </row>
    <row r="35" spans="1:16">
      <c r="A35" s="4" t="s">
        <v>172</v>
      </c>
      <c r="B35" s="9" t="s">
        <v>174</v>
      </c>
      <c r="C35" s="10" t="s">
        <v>34</v>
      </c>
      <c r="D35" s="10" t="s">
        <v>57</v>
      </c>
      <c r="E35" s="10" t="s">
        <v>106</v>
      </c>
      <c r="F35" s="6">
        <v>-14.282583000000001</v>
      </c>
      <c r="G35" s="6">
        <v>-170.6933415</v>
      </c>
      <c r="H35" s="5">
        <v>1445</v>
      </c>
      <c r="I35" s="5">
        <v>105</v>
      </c>
      <c r="J35" s="5">
        <v>1718845</v>
      </c>
      <c r="K35" s="7">
        <f t="shared" si="0"/>
        <v>0.66364976469989034</v>
      </c>
      <c r="L35" s="7">
        <f t="shared" si="1"/>
        <v>1.718845</v>
      </c>
      <c r="M35" s="8">
        <f t="shared" si="2"/>
        <v>2177.3532921441547</v>
      </c>
      <c r="N35" s="4" t="s">
        <v>50</v>
      </c>
      <c r="O35" s="4" t="s">
        <v>41</v>
      </c>
      <c r="P35" s="4" t="s">
        <v>43</v>
      </c>
    </row>
    <row r="36" spans="1:16">
      <c r="A36" s="4" t="s">
        <v>176</v>
      </c>
      <c r="B36" s="9" t="s">
        <v>178</v>
      </c>
      <c r="C36" s="10" t="s">
        <v>34</v>
      </c>
      <c r="D36" s="10" t="s">
        <v>35</v>
      </c>
      <c r="E36" s="10" t="s">
        <v>49</v>
      </c>
      <c r="F36" s="6">
        <v>-14.3319107</v>
      </c>
      <c r="G36" s="6">
        <v>-170.8292337</v>
      </c>
      <c r="H36" s="5">
        <v>87</v>
      </c>
      <c r="I36" s="5">
        <v>6</v>
      </c>
      <c r="J36" s="5">
        <v>638527</v>
      </c>
      <c r="K36" s="7">
        <f t="shared" si="0"/>
        <v>0.2465366529876323</v>
      </c>
      <c r="L36" s="7">
        <f t="shared" si="1"/>
        <v>0.63852699999999996</v>
      </c>
      <c r="M36" s="8">
        <f t="shared" si="2"/>
        <v>352.8887041569613</v>
      </c>
      <c r="N36" s="4" t="s">
        <v>50</v>
      </c>
      <c r="O36" s="4" t="s">
        <v>41</v>
      </c>
      <c r="P36" s="4" t="s">
        <v>43</v>
      </c>
    </row>
    <row r="37" spans="1:16">
      <c r="A37" s="4" t="s">
        <v>180</v>
      </c>
      <c r="B37" s="9" t="s">
        <v>184</v>
      </c>
      <c r="C37" s="10" t="s">
        <v>181</v>
      </c>
      <c r="D37" s="10" t="s">
        <v>182</v>
      </c>
      <c r="E37" s="10" t="s">
        <v>180</v>
      </c>
      <c r="F37" s="6">
        <v>-14.219693599999999</v>
      </c>
      <c r="G37" s="6">
        <v>-169.50732679999999</v>
      </c>
      <c r="H37" s="5">
        <v>104</v>
      </c>
      <c r="I37" s="5">
        <v>13</v>
      </c>
      <c r="J37" s="5">
        <v>6931132</v>
      </c>
      <c r="K37" s="7">
        <f t="shared" si="0"/>
        <v>2.6761250263426195</v>
      </c>
      <c r="L37" s="7">
        <f t="shared" si="1"/>
        <v>6.9311319999999998</v>
      </c>
      <c r="M37" s="8">
        <f t="shared" si="2"/>
        <v>38.862160390964135</v>
      </c>
      <c r="N37" s="4" t="s">
        <v>50</v>
      </c>
      <c r="O37" s="4" t="s">
        <v>41</v>
      </c>
      <c r="P37" s="4" t="s">
        <v>43</v>
      </c>
    </row>
    <row r="38" spans="1:16">
      <c r="A38" s="4" t="s">
        <v>186</v>
      </c>
      <c r="B38" s="9" t="s">
        <v>189</v>
      </c>
      <c r="C38" s="10" t="s">
        <v>34</v>
      </c>
      <c r="D38" s="10" t="s">
        <v>35</v>
      </c>
      <c r="E38" s="10" t="s">
        <v>187</v>
      </c>
      <c r="F38" s="6">
        <v>-14.327615700000001</v>
      </c>
      <c r="G38" s="6">
        <v>-170.7438779</v>
      </c>
      <c r="H38" s="5">
        <v>1953</v>
      </c>
      <c r="I38" s="5">
        <v>208</v>
      </c>
      <c r="J38" s="5">
        <v>635024</v>
      </c>
      <c r="K38" s="7">
        <f t="shared" ref="K38:K69" si="3">IF(J38=0,0,J38/2589988.110336)</f>
        <v>0.24518413712625811</v>
      </c>
      <c r="L38" s="7">
        <f t="shared" ref="L38:L69" si="4">IF(J38=0,0,J38/1000000)</f>
        <v>0.63502400000000003</v>
      </c>
      <c r="M38" s="8">
        <f t="shared" ref="M38:M69" si="5">IF(K38=0,0,H38/K38)</f>
        <v>7965.4419037488478</v>
      </c>
      <c r="N38" s="4" t="s">
        <v>50</v>
      </c>
      <c r="O38" s="4" t="s">
        <v>41</v>
      </c>
      <c r="P38" s="4" t="s">
        <v>43</v>
      </c>
    </row>
    <row r="39" spans="1:16">
      <c r="A39" s="4" t="s">
        <v>191</v>
      </c>
      <c r="B39" s="9" t="s">
        <v>193</v>
      </c>
      <c r="C39" s="10" t="s">
        <v>34</v>
      </c>
      <c r="D39" s="10" t="s">
        <v>57</v>
      </c>
      <c r="E39" s="10" t="s">
        <v>106</v>
      </c>
      <c r="F39" s="6">
        <v>-14.2966894</v>
      </c>
      <c r="G39" s="6">
        <v>-170.67756460000001</v>
      </c>
      <c r="H39" s="5">
        <v>72</v>
      </c>
      <c r="I39" s="5">
        <v>5</v>
      </c>
      <c r="J39" s="5">
        <v>101073</v>
      </c>
      <c r="K39" s="7">
        <f t="shared" si="3"/>
        <v>3.9024503470360627E-2</v>
      </c>
      <c r="L39" s="7">
        <f t="shared" si="4"/>
        <v>0.101073</v>
      </c>
      <c r="M39" s="8">
        <f t="shared" si="5"/>
        <v>1844.9946468808882</v>
      </c>
      <c r="N39" s="4" t="s">
        <v>50</v>
      </c>
      <c r="O39" s="4" t="s">
        <v>41</v>
      </c>
      <c r="P39" s="4" t="s">
        <v>43</v>
      </c>
    </row>
    <row r="40" spans="1:16">
      <c r="A40" s="4" t="s">
        <v>208</v>
      </c>
      <c r="B40" s="9" t="s">
        <v>211</v>
      </c>
      <c r="C40" s="10" t="s">
        <v>34</v>
      </c>
      <c r="D40" s="10" t="s">
        <v>35</v>
      </c>
      <c r="E40" s="10" t="s">
        <v>209</v>
      </c>
      <c r="F40" s="6">
        <v>-14.361151899999999</v>
      </c>
      <c r="G40" s="6">
        <v>-170.75842420000001</v>
      </c>
      <c r="H40" s="5">
        <v>682</v>
      </c>
      <c r="I40" s="5">
        <v>64</v>
      </c>
      <c r="J40" s="5">
        <v>3481339</v>
      </c>
      <c r="K40" s="7">
        <f t="shared" si="3"/>
        <v>1.3441525025179999</v>
      </c>
      <c r="L40" s="7">
        <f t="shared" si="4"/>
        <v>3.4813390000000002</v>
      </c>
      <c r="M40" s="8">
        <f t="shared" si="5"/>
        <v>507.38290389104651</v>
      </c>
      <c r="N40" s="4" t="s">
        <v>50</v>
      </c>
      <c r="O40" s="4" t="s">
        <v>41</v>
      </c>
      <c r="P40" s="4" t="s">
        <v>43</v>
      </c>
    </row>
    <row r="41" spans="1:16">
      <c r="A41" s="4" t="s">
        <v>203</v>
      </c>
      <c r="B41" s="9" t="s">
        <v>205</v>
      </c>
      <c r="C41" s="10" t="s">
        <v>34</v>
      </c>
      <c r="D41" s="10" t="s">
        <v>35</v>
      </c>
      <c r="E41" s="10" t="s">
        <v>187</v>
      </c>
      <c r="F41" s="6">
        <v>-14.3454917</v>
      </c>
      <c r="G41" s="6">
        <v>-170.72390899999999</v>
      </c>
      <c r="H41" s="5">
        <v>3073</v>
      </c>
      <c r="I41" s="5">
        <v>277</v>
      </c>
      <c r="J41" s="5">
        <v>3592014</v>
      </c>
      <c r="K41" s="7">
        <f t="shared" si="3"/>
        <v>1.3868843589146851</v>
      </c>
      <c r="L41" s="7">
        <f t="shared" si="4"/>
        <v>3.5920139999999998</v>
      </c>
      <c r="M41" s="8">
        <f t="shared" si="5"/>
        <v>2215.7579182771915</v>
      </c>
      <c r="N41" s="4" t="s">
        <v>50</v>
      </c>
      <c r="O41" s="4" t="s">
        <v>41</v>
      </c>
      <c r="P41" s="4" t="s">
        <v>43</v>
      </c>
    </row>
    <row r="42" spans="1:16">
      <c r="A42" s="4" t="s">
        <v>226</v>
      </c>
      <c r="B42" s="9" t="s">
        <v>228</v>
      </c>
      <c r="C42" s="10" t="s">
        <v>34</v>
      </c>
      <c r="D42" s="10" t="s">
        <v>57</v>
      </c>
      <c r="E42" s="10" t="s">
        <v>58</v>
      </c>
      <c r="F42" s="6">
        <v>-14.289738</v>
      </c>
      <c r="G42" s="6">
        <v>-170.65169549999999</v>
      </c>
      <c r="H42" s="5">
        <v>736</v>
      </c>
      <c r="I42" s="5">
        <v>63</v>
      </c>
      <c r="J42" s="5">
        <v>1344715</v>
      </c>
      <c r="K42" s="7">
        <f t="shared" si="3"/>
        <v>0.51919736412440509</v>
      </c>
      <c r="L42" s="7">
        <f t="shared" si="4"/>
        <v>1.3447150000000001</v>
      </c>
      <c r="M42" s="8">
        <f t="shared" si="5"/>
        <v>1417.5726820979137</v>
      </c>
      <c r="N42" s="4" t="s">
        <v>50</v>
      </c>
      <c r="O42" s="4" t="s">
        <v>41</v>
      </c>
      <c r="P42" s="4" t="s">
        <v>43</v>
      </c>
    </row>
    <row r="43" spans="1:16">
      <c r="A43" s="4" t="s">
        <v>232</v>
      </c>
      <c r="B43" s="9" t="s">
        <v>234</v>
      </c>
      <c r="C43" s="10" t="s">
        <v>34</v>
      </c>
      <c r="D43" s="10" t="s">
        <v>57</v>
      </c>
      <c r="E43" s="10" t="s">
        <v>106</v>
      </c>
      <c r="F43" s="6">
        <v>-14.2682603</v>
      </c>
      <c r="G43" s="6">
        <v>-170.67564949999999</v>
      </c>
      <c r="H43" s="5">
        <v>365</v>
      </c>
      <c r="I43" s="5">
        <v>32</v>
      </c>
      <c r="J43" s="5">
        <v>873914</v>
      </c>
      <c r="K43" s="7">
        <f t="shared" si="3"/>
        <v>0.33742008178046301</v>
      </c>
      <c r="L43" s="7">
        <f t="shared" si="4"/>
        <v>0.87391399999999997</v>
      </c>
      <c r="M43" s="8">
        <f t="shared" si="5"/>
        <v>1081.7376312459121</v>
      </c>
      <c r="N43" s="4" t="s">
        <v>50</v>
      </c>
      <c r="O43" s="4" t="s">
        <v>41</v>
      </c>
      <c r="P43" s="4" t="s">
        <v>43</v>
      </c>
    </row>
    <row r="44" spans="1:16">
      <c r="A44" s="4" t="s">
        <v>236</v>
      </c>
      <c r="B44" s="9" t="s">
        <v>238</v>
      </c>
      <c r="C44" s="10" t="s">
        <v>34</v>
      </c>
      <c r="D44" s="10" t="s">
        <v>35</v>
      </c>
      <c r="E44" s="10" t="s">
        <v>49</v>
      </c>
      <c r="F44" s="6">
        <v>-14.333929299999999</v>
      </c>
      <c r="G44" s="6">
        <v>-170.7801</v>
      </c>
      <c r="H44" s="5">
        <v>1598</v>
      </c>
      <c r="I44" s="5">
        <v>130</v>
      </c>
      <c r="J44" s="5">
        <v>3863226</v>
      </c>
      <c r="K44" s="7">
        <f t="shared" si="3"/>
        <v>1.4915998975372988</v>
      </c>
      <c r="L44" s="7">
        <f t="shared" si="4"/>
        <v>3.863226</v>
      </c>
      <c r="M44" s="8">
        <f t="shared" si="5"/>
        <v>1071.3328705897425</v>
      </c>
      <c r="N44" s="4" t="s">
        <v>50</v>
      </c>
      <c r="O44" s="4" t="s">
        <v>41</v>
      </c>
      <c r="P44" s="4" t="s">
        <v>43</v>
      </c>
    </row>
    <row r="45" spans="1:16">
      <c r="A45" s="4" t="s">
        <v>390</v>
      </c>
      <c r="B45" s="9" t="s">
        <v>391</v>
      </c>
      <c r="C45" s="10" t="s">
        <v>181</v>
      </c>
      <c r="D45" s="10" t="s">
        <v>182</v>
      </c>
      <c r="E45" s="10" t="s">
        <v>198</v>
      </c>
      <c r="F45" s="6">
        <v>-14.233704100000001</v>
      </c>
      <c r="G45" s="6">
        <v>-169.42095760000001</v>
      </c>
      <c r="H45" s="5">
        <v>93</v>
      </c>
      <c r="I45" s="5">
        <v>11</v>
      </c>
      <c r="J45" s="5">
        <v>10965657</v>
      </c>
      <c r="K45" s="7">
        <f t="shared" si="3"/>
        <v>4.2338638375360809</v>
      </c>
      <c r="L45" s="7">
        <f t="shared" si="4"/>
        <v>10.965657</v>
      </c>
      <c r="M45" s="8">
        <f t="shared" si="5"/>
        <v>21.965751277944221</v>
      </c>
      <c r="N45" s="4" t="s">
        <v>50</v>
      </c>
      <c r="O45" s="4" t="s">
        <v>41</v>
      </c>
      <c r="P45" s="4" t="s">
        <v>43</v>
      </c>
    </row>
    <row r="46" spans="1:16">
      <c r="A46" s="4" t="s">
        <v>392</v>
      </c>
      <c r="B46" s="9" t="s">
        <v>393</v>
      </c>
      <c r="C46" s="10" t="s">
        <v>181</v>
      </c>
      <c r="D46" s="10" t="s">
        <v>182</v>
      </c>
      <c r="E46" s="10" t="s">
        <v>334</v>
      </c>
      <c r="F46" s="6">
        <v>-14.223174</v>
      </c>
      <c r="G46" s="6">
        <v>-169.517743</v>
      </c>
      <c r="H46" s="5">
        <v>126</v>
      </c>
      <c r="I46" s="5">
        <v>10</v>
      </c>
      <c r="J46" s="5">
        <v>940481</v>
      </c>
      <c r="K46" s="7">
        <f t="shared" si="3"/>
        <v>0.36312174416815801</v>
      </c>
      <c r="L46" s="7">
        <f t="shared" si="4"/>
        <v>0.94048100000000001</v>
      </c>
      <c r="M46" s="8">
        <f t="shared" si="5"/>
        <v>346.99106297983263</v>
      </c>
      <c r="N46" s="4" t="s">
        <v>50</v>
      </c>
      <c r="O46" s="4" t="s">
        <v>41</v>
      </c>
      <c r="P46" s="4" t="s">
        <v>43</v>
      </c>
    </row>
    <row r="47" spans="1:16">
      <c r="A47" s="4" t="s">
        <v>394</v>
      </c>
      <c r="B47" s="9" t="s">
        <v>395</v>
      </c>
      <c r="C47" s="10" t="s">
        <v>181</v>
      </c>
      <c r="D47" s="10" t="s">
        <v>182</v>
      </c>
      <c r="E47" s="10" t="s">
        <v>198</v>
      </c>
      <c r="F47" s="6">
        <v>-14.2144435</v>
      </c>
      <c r="G47" s="6">
        <v>-169.4272091</v>
      </c>
      <c r="H47" s="5">
        <v>120</v>
      </c>
      <c r="I47" s="5">
        <v>12</v>
      </c>
      <c r="J47" s="5">
        <v>11362506</v>
      </c>
      <c r="K47" s="7">
        <f t="shared" si="3"/>
        <v>4.3870880930514922</v>
      </c>
      <c r="L47" s="7">
        <f t="shared" si="4"/>
        <v>11.362506</v>
      </c>
      <c r="M47" s="8">
        <f t="shared" si="5"/>
        <v>27.352995302296872</v>
      </c>
      <c r="N47" s="4" t="s">
        <v>50</v>
      </c>
      <c r="O47" s="4" t="s">
        <v>41</v>
      </c>
      <c r="P47" s="4" t="s">
        <v>43</v>
      </c>
    </row>
    <row r="48" spans="1:16">
      <c r="A48" s="4" t="s">
        <v>242</v>
      </c>
      <c r="B48" s="9" t="s">
        <v>244</v>
      </c>
      <c r="C48" s="10" t="s">
        <v>34</v>
      </c>
      <c r="D48" s="10" t="s">
        <v>35</v>
      </c>
      <c r="E48" s="10" t="s">
        <v>187</v>
      </c>
      <c r="F48" s="6">
        <v>-14.3114589</v>
      </c>
      <c r="G48" s="6">
        <v>-170.73649409999999</v>
      </c>
      <c r="H48" s="5">
        <v>1046</v>
      </c>
      <c r="I48" s="5">
        <v>94</v>
      </c>
      <c r="J48" s="5">
        <v>3880762</v>
      </c>
      <c r="K48" s="7">
        <f t="shared" si="3"/>
        <v>1.4983705849894993</v>
      </c>
      <c r="L48" s="7">
        <f t="shared" si="4"/>
        <v>3.8807619999999998</v>
      </c>
      <c r="M48" s="8">
        <f t="shared" si="5"/>
        <v>698.09165401316955</v>
      </c>
      <c r="N48" s="4" t="s">
        <v>50</v>
      </c>
      <c r="O48" s="4" t="s">
        <v>41</v>
      </c>
      <c r="P48" s="4" t="s">
        <v>43</v>
      </c>
    </row>
    <row r="49" spans="1:16">
      <c r="A49" s="4" t="s">
        <v>396</v>
      </c>
      <c r="B49" s="9" t="s">
        <v>397</v>
      </c>
      <c r="C49" s="10" t="s">
        <v>34</v>
      </c>
      <c r="D49" s="10" t="s">
        <v>35</v>
      </c>
      <c r="E49" s="10" t="s">
        <v>36</v>
      </c>
      <c r="F49" s="6">
        <v>-14.331712100000001</v>
      </c>
      <c r="G49" s="6">
        <v>-170.7675088</v>
      </c>
      <c r="H49" s="5">
        <v>614</v>
      </c>
      <c r="I49" s="5">
        <v>67</v>
      </c>
      <c r="J49" s="5">
        <v>3590304</v>
      </c>
      <c r="K49" s="7">
        <f t="shared" si="3"/>
        <v>1.3862241242235775</v>
      </c>
      <c r="L49" s="7">
        <f t="shared" si="4"/>
        <v>3.5903040000000002</v>
      </c>
      <c r="M49" s="8">
        <f t="shared" si="5"/>
        <v>442.92981868563328</v>
      </c>
      <c r="N49" s="4" t="s">
        <v>50</v>
      </c>
      <c r="O49" s="4" t="s">
        <v>41</v>
      </c>
      <c r="P49" s="4" t="s">
        <v>43</v>
      </c>
    </row>
    <row r="50" spans="1:16">
      <c r="A50" s="4" t="s">
        <v>398</v>
      </c>
      <c r="B50" s="9" t="s">
        <v>399</v>
      </c>
      <c r="C50" s="10" t="s">
        <v>34</v>
      </c>
      <c r="D50" s="10" t="s">
        <v>35</v>
      </c>
      <c r="E50" s="10" t="s">
        <v>209</v>
      </c>
      <c r="F50" s="6">
        <v>-14.342393299999999</v>
      </c>
      <c r="G50" s="6">
        <v>-170.7659759</v>
      </c>
      <c r="H50" s="5">
        <v>424</v>
      </c>
      <c r="I50" s="5">
        <v>42</v>
      </c>
      <c r="J50" s="5">
        <v>608538</v>
      </c>
      <c r="K50" s="7">
        <f t="shared" si="3"/>
        <v>0.2349578353551029</v>
      </c>
      <c r="L50" s="7">
        <f t="shared" si="4"/>
        <v>0.60853800000000002</v>
      </c>
      <c r="M50" s="8">
        <f t="shared" si="5"/>
        <v>1804.5791039876951</v>
      </c>
      <c r="N50" s="4" t="s">
        <v>50</v>
      </c>
      <c r="O50" s="4" t="s">
        <v>41</v>
      </c>
      <c r="P50" s="4" t="s">
        <v>43</v>
      </c>
    </row>
    <row r="51" spans="1:16">
      <c r="A51" s="4" t="s">
        <v>251</v>
      </c>
      <c r="B51" s="9" t="s">
        <v>253</v>
      </c>
      <c r="C51" s="10" t="s">
        <v>34</v>
      </c>
      <c r="D51" s="10" t="s">
        <v>35</v>
      </c>
      <c r="E51" s="10" t="s">
        <v>49</v>
      </c>
      <c r="F51" s="6">
        <v>-14.309612</v>
      </c>
      <c r="G51" s="6">
        <v>-170.81041970000001</v>
      </c>
      <c r="H51" s="5">
        <v>6</v>
      </c>
      <c r="I51" s="5">
        <v>0</v>
      </c>
      <c r="J51" s="5">
        <v>3101807</v>
      </c>
      <c r="K51" s="7">
        <f t="shared" si="3"/>
        <v>1.1976143780820683</v>
      </c>
      <c r="L51" s="7">
        <f t="shared" si="4"/>
        <v>3.101807</v>
      </c>
      <c r="M51" s="8">
        <f t="shared" si="5"/>
        <v>5.0099598917714738</v>
      </c>
      <c r="N51" s="4" t="s">
        <v>50</v>
      </c>
      <c r="O51" s="4" t="s">
        <v>41</v>
      </c>
      <c r="P51" s="4" t="s">
        <v>43</v>
      </c>
    </row>
    <row r="52" spans="1:16">
      <c r="A52" s="4" t="s">
        <v>256</v>
      </c>
      <c r="B52" s="9" t="s">
        <v>258</v>
      </c>
      <c r="C52" s="10" t="s">
        <v>34</v>
      </c>
      <c r="D52" s="10" t="s">
        <v>35</v>
      </c>
      <c r="E52" s="10" t="s">
        <v>187</v>
      </c>
      <c r="F52" s="6">
        <v>-14.322623099999999</v>
      </c>
      <c r="G52" s="6">
        <v>-170.75556109999999</v>
      </c>
      <c r="H52" s="5">
        <v>1772</v>
      </c>
      <c r="I52" s="5">
        <v>211</v>
      </c>
      <c r="J52" s="5">
        <v>2064469</v>
      </c>
      <c r="K52" s="7">
        <f t="shared" si="3"/>
        <v>0.79709593714396465</v>
      </c>
      <c r="L52" s="7">
        <f t="shared" si="4"/>
        <v>2.0644689999999999</v>
      </c>
      <c r="M52" s="8">
        <f t="shared" si="5"/>
        <v>2223.0699184707505</v>
      </c>
      <c r="N52" s="4" t="s">
        <v>50</v>
      </c>
      <c r="O52" s="4" t="s">
        <v>41</v>
      </c>
      <c r="P52" s="4" t="s">
        <v>43</v>
      </c>
    </row>
    <row r="53" spans="1:16">
      <c r="A53" s="4" t="s">
        <v>261</v>
      </c>
      <c r="B53" s="9" t="s">
        <v>263</v>
      </c>
      <c r="C53" s="10" t="s">
        <v>34</v>
      </c>
      <c r="D53" s="10" t="s">
        <v>57</v>
      </c>
      <c r="E53" s="10" t="s">
        <v>58</v>
      </c>
      <c r="F53" s="6">
        <v>-14.255664299999999</v>
      </c>
      <c r="G53" s="6">
        <v>-170.6133749</v>
      </c>
      <c r="H53" s="5">
        <v>134</v>
      </c>
      <c r="I53" s="5">
        <v>11</v>
      </c>
      <c r="J53" s="5">
        <v>951537</v>
      </c>
      <c r="K53" s="7">
        <f t="shared" si="3"/>
        <v>0.3673904896330033</v>
      </c>
      <c r="L53" s="7">
        <f t="shared" si="4"/>
        <v>0.95153699999999997</v>
      </c>
      <c r="M53" s="8">
        <f t="shared" si="5"/>
        <v>364.73453663391331</v>
      </c>
      <c r="N53" s="4" t="s">
        <v>50</v>
      </c>
      <c r="O53" s="4" t="s">
        <v>41</v>
      </c>
      <c r="P53" s="4" t="s">
        <v>43</v>
      </c>
    </row>
    <row r="54" spans="1:16">
      <c r="A54" s="4" t="s">
        <v>265</v>
      </c>
      <c r="B54" s="9" t="s">
        <v>267</v>
      </c>
      <c r="C54" s="10" t="s">
        <v>34</v>
      </c>
      <c r="D54" s="10" t="s">
        <v>57</v>
      </c>
      <c r="E54" s="10" t="s">
        <v>58</v>
      </c>
      <c r="F54" s="6">
        <v>-14.2498074</v>
      </c>
      <c r="G54" s="6">
        <v>-170.6232651</v>
      </c>
      <c r="H54" s="5">
        <v>260</v>
      </c>
      <c r="I54" s="5">
        <v>14</v>
      </c>
      <c r="J54" s="5">
        <v>4231359</v>
      </c>
      <c r="K54" s="7">
        <f t="shared" si="3"/>
        <v>1.6337368434680051</v>
      </c>
      <c r="L54" s="7">
        <f t="shared" si="4"/>
        <v>4.2313590000000003</v>
      </c>
      <c r="M54" s="8">
        <f t="shared" si="5"/>
        <v>159.14435732996421</v>
      </c>
      <c r="N54" s="4" t="s">
        <v>50</v>
      </c>
      <c r="O54" s="4" t="s">
        <v>41</v>
      </c>
      <c r="P54" s="4" t="s">
        <v>43</v>
      </c>
    </row>
    <row r="55" spans="1:16">
      <c r="A55" s="4" t="s">
        <v>269</v>
      </c>
      <c r="B55" s="9" t="s">
        <v>271</v>
      </c>
      <c r="C55" s="10" t="s">
        <v>34</v>
      </c>
      <c r="D55" s="10" t="s">
        <v>57</v>
      </c>
      <c r="E55" s="10" t="s">
        <v>164</v>
      </c>
      <c r="F55" s="6">
        <v>-14.2999405</v>
      </c>
      <c r="G55" s="6">
        <v>-170.68019799999999</v>
      </c>
      <c r="H55" s="5">
        <v>317</v>
      </c>
      <c r="I55" s="5">
        <v>35</v>
      </c>
      <c r="J55" s="5">
        <v>1202736</v>
      </c>
      <c r="K55" s="7">
        <f t="shared" si="3"/>
        <v>0.46437896575670712</v>
      </c>
      <c r="L55" s="7">
        <f t="shared" si="4"/>
        <v>1.202736</v>
      </c>
      <c r="M55" s="8">
        <f t="shared" si="5"/>
        <v>682.63212456974099</v>
      </c>
      <c r="N55" s="4" t="s">
        <v>50</v>
      </c>
      <c r="O55" s="4" t="s">
        <v>41</v>
      </c>
      <c r="P55" s="4" t="s">
        <v>43</v>
      </c>
    </row>
    <row r="56" spans="1:16">
      <c r="A56" s="4" t="s">
        <v>273</v>
      </c>
      <c r="B56" s="9" t="s">
        <v>275</v>
      </c>
      <c r="C56" s="10" t="s">
        <v>34</v>
      </c>
      <c r="D56" s="10" t="s">
        <v>35</v>
      </c>
      <c r="E56" s="10" t="s">
        <v>187</v>
      </c>
      <c r="F56" s="6">
        <v>-14.3227548</v>
      </c>
      <c r="G56" s="6">
        <v>-170.7470017</v>
      </c>
      <c r="H56" s="5">
        <v>415</v>
      </c>
      <c r="I56" s="5">
        <v>56</v>
      </c>
      <c r="J56" s="5">
        <v>280377</v>
      </c>
      <c r="K56" s="7">
        <f t="shared" si="3"/>
        <v>0.10825416490565533</v>
      </c>
      <c r="L56" s="7">
        <f t="shared" si="4"/>
        <v>0.28037699999999999</v>
      </c>
      <c r="M56" s="8">
        <f t="shared" si="5"/>
        <v>3833.570748632877</v>
      </c>
      <c r="N56" s="4" t="s">
        <v>50</v>
      </c>
      <c r="O56" s="4" t="s">
        <v>41</v>
      </c>
      <c r="P56" s="4" t="s">
        <v>43</v>
      </c>
    </row>
    <row r="57" spans="1:16">
      <c r="A57" s="4" t="s">
        <v>135</v>
      </c>
      <c r="B57" s="9" t="s">
        <v>139</v>
      </c>
      <c r="C57" s="10" t="s">
        <v>34</v>
      </c>
      <c r="D57" s="10" t="s">
        <v>136</v>
      </c>
      <c r="E57" s="10" t="s">
        <v>137</v>
      </c>
      <c r="F57" s="6">
        <v>-14.315627900000001</v>
      </c>
      <c r="G57" s="6">
        <v>-170.7005422</v>
      </c>
      <c r="H57" s="5">
        <v>4991</v>
      </c>
      <c r="I57" s="5">
        <v>488</v>
      </c>
      <c r="J57" s="5">
        <v>7619237</v>
      </c>
      <c r="K57" s="7">
        <f t="shared" si="3"/>
        <v>2.9418038521464696</v>
      </c>
      <c r="L57" s="7">
        <f t="shared" si="4"/>
        <v>7.619237</v>
      </c>
      <c r="M57" s="8">
        <f t="shared" si="5"/>
        <v>1696.5781033831834</v>
      </c>
      <c r="N57" s="4" t="s">
        <v>50</v>
      </c>
      <c r="O57" s="4" t="s">
        <v>41</v>
      </c>
      <c r="P57" s="4" t="s">
        <v>43</v>
      </c>
    </row>
    <row r="58" spans="1:16">
      <c r="A58" s="4" t="s">
        <v>277</v>
      </c>
      <c r="B58" s="9" t="s">
        <v>279</v>
      </c>
      <c r="C58" s="10" t="s">
        <v>34</v>
      </c>
      <c r="D58" s="10" t="s">
        <v>35</v>
      </c>
      <c r="E58" s="10" t="s">
        <v>49</v>
      </c>
      <c r="F58" s="6">
        <v>-14.329782399999999</v>
      </c>
      <c r="G58" s="6">
        <v>-170.80604779999999</v>
      </c>
      <c r="H58" s="5">
        <v>150</v>
      </c>
      <c r="I58" s="5">
        <v>13</v>
      </c>
      <c r="J58" s="5">
        <v>956582</v>
      </c>
      <c r="K58" s="7">
        <f t="shared" si="3"/>
        <v>0.36933837502284994</v>
      </c>
      <c r="L58" s="7">
        <f t="shared" si="4"/>
        <v>0.95658200000000004</v>
      </c>
      <c r="M58" s="8">
        <f t="shared" si="5"/>
        <v>406.13164010027367</v>
      </c>
      <c r="N58" s="4" t="s">
        <v>50</v>
      </c>
      <c r="O58" s="4" t="s">
        <v>41</v>
      </c>
      <c r="P58" s="4" t="s">
        <v>43</v>
      </c>
    </row>
    <row r="59" spans="1:16">
      <c r="A59" s="4" t="s">
        <v>282</v>
      </c>
      <c r="B59" s="9" t="s">
        <v>285</v>
      </c>
      <c r="C59" s="10" t="s">
        <v>283</v>
      </c>
      <c r="D59" s="10" t="s">
        <v>182</v>
      </c>
      <c r="E59" s="10" t="s">
        <v>282</v>
      </c>
      <c r="F59" s="6">
        <v>-14.168521800000001</v>
      </c>
      <c r="G59" s="6">
        <v>-169.67420229999999</v>
      </c>
      <c r="H59" s="5">
        <v>132</v>
      </c>
      <c r="I59" s="5">
        <v>16</v>
      </c>
      <c r="J59" s="5">
        <v>7310058</v>
      </c>
      <c r="K59" s="7">
        <f t="shared" si="3"/>
        <v>2.8224291728704745</v>
      </c>
      <c r="L59" s="7">
        <f t="shared" si="4"/>
        <v>7.3100579999999997</v>
      </c>
      <c r="M59" s="8">
        <f t="shared" si="5"/>
        <v>46.768224077613617</v>
      </c>
      <c r="N59" s="4" t="s">
        <v>50</v>
      </c>
      <c r="O59" s="4" t="s">
        <v>41</v>
      </c>
      <c r="P59" s="4" t="s">
        <v>43</v>
      </c>
    </row>
    <row r="60" spans="1:16">
      <c r="A60" s="4" t="s">
        <v>287</v>
      </c>
      <c r="B60" s="9" t="s">
        <v>290</v>
      </c>
      <c r="C60" s="10" t="s">
        <v>288</v>
      </c>
      <c r="D60" s="10" t="s">
        <v>182</v>
      </c>
      <c r="E60" s="10" t="s">
        <v>287</v>
      </c>
      <c r="F60" s="6">
        <v>-14.183798400000001</v>
      </c>
      <c r="G60" s="6">
        <v>-169.61436269999999</v>
      </c>
      <c r="H60" s="5">
        <v>138</v>
      </c>
      <c r="I60" s="5">
        <v>14</v>
      </c>
      <c r="J60" s="5">
        <v>3134083</v>
      </c>
      <c r="K60" s="7">
        <f t="shared" si="3"/>
        <v>1.2100762113511843</v>
      </c>
      <c r="L60" s="7">
        <f t="shared" si="4"/>
        <v>3.134083</v>
      </c>
      <c r="M60" s="8">
        <f t="shared" si="5"/>
        <v>114.04240386306553</v>
      </c>
      <c r="N60" s="4" t="s">
        <v>50</v>
      </c>
      <c r="O60" s="4" t="s">
        <v>41</v>
      </c>
      <c r="P60" s="4" t="s">
        <v>43</v>
      </c>
    </row>
    <row r="61" spans="1:16">
      <c r="A61" s="4" t="s">
        <v>292</v>
      </c>
      <c r="B61" s="9" t="s">
        <v>294</v>
      </c>
      <c r="C61" s="10" t="s">
        <v>34</v>
      </c>
      <c r="D61" s="10" t="s">
        <v>57</v>
      </c>
      <c r="E61" s="10" t="s">
        <v>63</v>
      </c>
      <c r="F61" s="6">
        <v>-14.248007100000001</v>
      </c>
      <c r="G61" s="6">
        <v>-170.57750870000001</v>
      </c>
      <c r="H61" s="5">
        <v>100</v>
      </c>
      <c r="I61" s="5">
        <v>6</v>
      </c>
      <c r="J61" s="5">
        <v>1014990</v>
      </c>
      <c r="K61" s="7">
        <f t="shared" si="3"/>
        <v>0.39188982989899712</v>
      </c>
      <c r="L61" s="7">
        <f t="shared" si="4"/>
        <v>1.0149900000000001</v>
      </c>
      <c r="M61" s="8">
        <f t="shared" si="5"/>
        <v>255.17375642479234</v>
      </c>
      <c r="N61" s="4" t="s">
        <v>50</v>
      </c>
      <c r="O61" s="4" t="s">
        <v>41</v>
      </c>
      <c r="P61" s="4" t="s">
        <v>43</v>
      </c>
    </row>
    <row r="62" spans="1:16">
      <c r="A62" s="4" t="s">
        <v>299</v>
      </c>
      <c r="B62" s="9" t="s">
        <v>302</v>
      </c>
      <c r="C62" s="10" t="s">
        <v>34</v>
      </c>
      <c r="D62" s="10" t="s">
        <v>57</v>
      </c>
      <c r="E62" s="10" t="s">
        <v>300</v>
      </c>
      <c r="F62" s="6">
        <v>-14.268124500000001</v>
      </c>
      <c r="G62" s="6">
        <v>-170.60403600000001</v>
      </c>
      <c r="H62" s="5">
        <v>81</v>
      </c>
      <c r="I62" s="5">
        <v>9</v>
      </c>
      <c r="J62" s="5">
        <v>385404</v>
      </c>
      <c r="K62" s="7">
        <f t="shared" si="3"/>
        <v>0.1488053163108928</v>
      </c>
      <c r="L62" s="7">
        <f t="shared" si="4"/>
        <v>0.38540400000000002</v>
      </c>
      <c r="M62" s="8">
        <f t="shared" si="5"/>
        <v>544.33539075156455</v>
      </c>
      <c r="N62" s="4" t="s">
        <v>50</v>
      </c>
      <c r="O62" s="4" t="s">
        <v>41</v>
      </c>
      <c r="P62" s="4" t="s">
        <v>43</v>
      </c>
    </row>
    <row r="63" spans="1:16">
      <c r="A63" s="4" t="s">
        <v>304</v>
      </c>
      <c r="B63" s="9" t="s">
        <v>306</v>
      </c>
      <c r="C63" s="10" t="s">
        <v>34</v>
      </c>
      <c r="D63" s="10" t="s">
        <v>57</v>
      </c>
      <c r="E63" s="10" t="s">
        <v>106</v>
      </c>
      <c r="F63" s="6">
        <v>-14.252446000000001</v>
      </c>
      <c r="G63" s="6">
        <v>-170.70102800000001</v>
      </c>
      <c r="H63" s="5">
        <v>3000</v>
      </c>
      <c r="I63" s="5">
        <v>280</v>
      </c>
      <c r="J63" s="5">
        <v>8876020</v>
      </c>
      <c r="K63" s="7">
        <f t="shared" si="3"/>
        <v>3.4270504812659199</v>
      </c>
      <c r="L63" s="7">
        <f t="shared" si="4"/>
        <v>8.8760200000000005</v>
      </c>
      <c r="M63" s="8">
        <f t="shared" si="5"/>
        <v>875.38833069416251</v>
      </c>
      <c r="N63" s="4" t="s">
        <v>50</v>
      </c>
      <c r="O63" s="4" t="s">
        <v>41</v>
      </c>
      <c r="P63" s="4" t="s">
        <v>43</v>
      </c>
    </row>
    <row r="64" spans="1:16">
      <c r="A64" s="4" t="s">
        <v>308</v>
      </c>
      <c r="B64" s="9" t="s">
        <v>310</v>
      </c>
      <c r="C64" s="10" t="s">
        <v>34</v>
      </c>
      <c r="D64" s="10" t="s">
        <v>35</v>
      </c>
      <c r="E64" s="10" t="s">
        <v>187</v>
      </c>
      <c r="F64" s="6">
        <v>-14.3340736</v>
      </c>
      <c r="G64" s="6">
        <v>-170.7511739</v>
      </c>
      <c r="H64" s="5">
        <v>2112</v>
      </c>
      <c r="I64" s="5">
        <v>204</v>
      </c>
      <c r="J64" s="5">
        <v>1898727</v>
      </c>
      <c r="K64" s="7">
        <f t="shared" si="3"/>
        <v>0.73310259318282256</v>
      </c>
      <c r="L64" s="7">
        <f t="shared" si="4"/>
        <v>1.8987270000000001</v>
      </c>
      <c r="M64" s="8">
        <f t="shared" si="5"/>
        <v>2880.9064647153764</v>
      </c>
      <c r="N64" s="4" t="s">
        <v>50</v>
      </c>
      <c r="O64" s="4" t="s">
        <v>41</v>
      </c>
      <c r="P64" s="4" t="s">
        <v>43</v>
      </c>
    </row>
    <row r="65" spans="1:16">
      <c r="A65" s="4" t="s">
        <v>313</v>
      </c>
      <c r="B65" s="9" t="s">
        <v>315</v>
      </c>
      <c r="C65" s="10" t="s">
        <v>34</v>
      </c>
      <c r="D65" s="10" t="s">
        <v>35</v>
      </c>
      <c r="E65" s="10" t="s">
        <v>49</v>
      </c>
      <c r="F65" s="6">
        <v>-14.320610800000001</v>
      </c>
      <c r="G65" s="6">
        <v>-170.84652059999999</v>
      </c>
      <c r="H65" s="5">
        <v>130</v>
      </c>
      <c r="I65" s="5">
        <v>9</v>
      </c>
      <c r="J65" s="5">
        <v>822846</v>
      </c>
      <c r="K65" s="7">
        <f t="shared" si="3"/>
        <v>0.31770261674801736</v>
      </c>
      <c r="L65" s="7">
        <f t="shared" si="4"/>
        <v>0.82284599999999997</v>
      </c>
      <c r="M65" s="8">
        <f t="shared" si="5"/>
        <v>409.18769045930833</v>
      </c>
      <c r="N65" s="4" t="s">
        <v>50</v>
      </c>
      <c r="O65" s="4" t="s">
        <v>41</v>
      </c>
      <c r="P65" s="4" t="s">
        <v>43</v>
      </c>
    </row>
    <row r="66" spans="1:16">
      <c r="A66" s="4" t="s">
        <v>317</v>
      </c>
      <c r="B66" s="9" t="s">
        <v>319</v>
      </c>
      <c r="C66" s="10" t="s">
        <v>34</v>
      </c>
      <c r="D66" s="10" t="s">
        <v>35</v>
      </c>
      <c r="E66" s="10" t="s">
        <v>49</v>
      </c>
      <c r="F66" s="6">
        <v>-14.3450711</v>
      </c>
      <c r="G66" s="6">
        <v>-170.7722502</v>
      </c>
      <c r="H66" s="5">
        <v>957</v>
      </c>
      <c r="I66" s="5">
        <v>89</v>
      </c>
      <c r="J66" s="5">
        <v>968325</v>
      </c>
      <c r="K66" s="7">
        <f t="shared" si="3"/>
        <v>0.37387237267061385</v>
      </c>
      <c r="L66" s="7">
        <f t="shared" si="4"/>
        <v>0.96832499999999999</v>
      </c>
      <c r="M66" s="8">
        <f t="shared" si="5"/>
        <v>2559.6970248537959</v>
      </c>
      <c r="N66" s="4" t="s">
        <v>50</v>
      </c>
      <c r="O66" s="4" t="s">
        <v>41</v>
      </c>
      <c r="P66" s="4" t="s">
        <v>43</v>
      </c>
    </row>
    <row r="67" spans="1:16">
      <c r="A67" s="4" t="s">
        <v>321</v>
      </c>
      <c r="B67" s="9" t="s">
        <v>323</v>
      </c>
      <c r="C67" s="10" t="s">
        <v>34</v>
      </c>
      <c r="D67" s="10" t="s">
        <v>57</v>
      </c>
      <c r="E67" s="10" t="s">
        <v>58</v>
      </c>
      <c r="F67" s="6">
        <v>-14.255954900000001</v>
      </c>
      <c r="G67" s="6">
        <v>-170.603116</v>
      </c>
      <c r="H67" s="5">
        <v>60</v>
      </c>
      <c r="I67" s="5">
        <v>2</v>
      </c>
      <c r="J67" s="5">
        <v>1371428</v>
      </c>
      <c r="K67" s="7">
        <f t="shared" si="3"/>
        <v>0.52951131108554939</v>
      </c>
      <c r="L67" s="7">
        <f t="shared" si="4"/>
        <v>1.3714280000000001</v>
      </c>
      <c r="M67" s="8">
        <f t="shared" si="5"/>
        <v>113.31202704054461</v>
      </c>
      <c r="N67" s="4" t="s">
        <v>50</v>
      </c>
      <c r="O67" s="4" t="s">
        <v>41</v>
      </c>
      <c r="P67" s="4" t="s">
        <v>43</v>
      </c>
    </row>
    <row r="68" spans="1:16">
      <c r="A68" s="4" t="s">
        <v>325</v>
      </c>
      <c r="B68" s="9" t="s">
        <v>327</v>
      </c>
      <c r="C68" s="10" t="s">
        <v>34</v>
      </c>
      <c r="D68" s="10" t="s">
        <v>57</v>
      </c>
      <c r="E68" s="10" t="s">
        <v>106</v>
      </c>
      <c r="F68" s="6">
        <v>-14.268466800000001</v>
      </c>
      <c r="G68" s="6">
        <v>-170.69189349999999</v>
      </c>
      <c r="H68" s="5">
        <v>218</v>
      </c>
      <c r="I68" s="5">
        <v>20</v>
      </c>
      <c r="J68" s="5">
        <v>400381</v>
      </c>
      <c r="K68" s="7">
        <f t="shared" si="3"/>
        <v>0.15458796833938301</v>
      </c>
      <c r="L68" s="7">
        <f t="shared" si="4"/>
        <v>0.40038099999999999</v>
      </c>
      <c r="M68" s="8">
        <f t="shared" si="5"/>
        <v>1410.200304343233</v>
      </c>
      <c r="N68" s="4" t="s">
        <v>50</v>
      </c>
      <c r="O68" s="4" t="s">
        <v>41</v>
      </c>
      <c r="P68" s="4" t="s">
        <v>43</v>
      </c>
    </row>
    <row r="69" spans="1:16">
      <c r="A69" s="4" t="s">
        <v>329</v>
      </c>
      <c r="B69" s="9" t="s">
        <v>331</v>
      </c>
      <c r="C69" s="10" t="s">
        <v>34</v>
      </c>
      <c r="D69" s="10" t="s">
        <v>35</v>
      </c>
      <c r="E69" s="10" t="s">
        <v>49</v>
      </c>
      <c r="F69" s="6">
        <v>-14.3265618</v>
      </c>
      <c r="G69" s="6">
        <v>-170.81225180000001</v>
      </c>
      <c r="H69" s="5">
        <v>177</v>
      </c>
      <c r="I69" s="5">
        <v>17</v>
      </c>
      <c r="J69" s="5">
        <v>701184</v>
      </c>
      <c r="K69" s="7">
        <f t="shared" si="3"/>
        <v>0.27072865593542633</v>
      </c>
      <c r="L69" s="7">
        <f t="shared" si="4"/>
        <v>0.70118400000000003</v>
      </c>
      <c r="M69" s="8">
        <f t="shared" si="5"/>
        <v>653.79115257831324</v>
      </c>
      <c r="N69" s="4" t="s">
        <v>50</v>
      </c>
      <c r="O69" s="4" t="s">
        <v>41</v>
      </c>
      <c r="P69" s="4" t="s">
        <v>43</v>
      </c>
    </row>
    <row r="70" spans="1:16">
      <c r="A70" s="4" t="s">
        <v>400</v>
      </c>
      <c r="B70" s="9" t="s">
        <v>401</v>
      </c>
      <c r="C70" s="10" t="s">
        <v>181</v>
      </c>
      <c r="D70" s="10" t="s">
        <v>182</v>
      </c>
      <c r="E70" s="10" t="s">
        <v>334</v>
      </c>
      <c r="F70" s="6">
        <v>-14.2487771</v>
      </c>
      <c r="G70" s="6">
        <v>-169.49415629999999</v>
      </c>
      <c r="H70" s="5">
        <v>110</v>
      </c>
      <c r="I70" s="5">
        <v>12</v>
      </c>
      <c r="J70" s="5">
        <v>14932463</v>
      </c>
      <c r="K70" s="7">
        <f t="shared" ref="K70:K101" si="6">IF(J70=0,0,J70/2589988.110336)</f>
        <v>5.7654561966552063</v>
      </c>
      <c r="L70" s="7">
        <f t="shared" ref="L70:L82" si="7">IF(J70=0,0,J70/1000000)</f>
        <v>14.932463</v>
      </c>
      <c r="M70" s="8">
        <f t="shared" ref="M70:M82" si="8">IF(K70=0,0,H70/K70)</f>
        <v>19.079149376560316</v>
      </c>
      <c r="N70" s="4" t="s">
        <v>50</v>
      </c>
      <c r="O70" s="4" t="s">
        <v>41</v>
      </c>
      <c r="P70" s="4" t="s">
        <v>43</v>
      </c>
    </row>
    <row r="71" spans="1:16">
      <c r="A71" s="4" t="s">
        <v>402</v>
      </c>
      <c r="B71" s="9" t="s">
        <v>403</v>
      </c>
      <c r="C71" s="10" t="s">
        <v>288</v>
      </c>
      <c r="D71" s="10" t="s">
        <v>182</v>
      </c>
      <c r="E71" s="10" t="s">
        <v>287</v>
      </c>
      <c r="F71" s="6">
        <v>-14.1654003</v>
      </c>
      <c r="G71" s="6">
        <v>-169.6159916</v>
      </c>
      <c r="H71" s="5">
        <v>9</v>
      </c>
      <c r="I71" s="5">
        <v>1</v>
      </c>
      <c r="J71" s="5">
        <v>2044613</v>
      </c>
      <c r="K71" s="7">
        <f t="shared" si="6"/>
        <v>0.7894294926839458</v>
      </c>
      <c r="L71" s="7">
        <f t="shared" si="7"/>
        <v>2.044613</v>
      </c>
      <c r="M71" s="8">
        <f t="shared" si="8"/>
        <v>11.400638161365501</v>
      </c>
      <c r="N71" s="4" t="s">
        <v>50</v>
      </c>
      <c r="O71" s="4" t="s">
        <v>41</v>
      </c>
      <c r="P71" s="4" t="s">
        <v>43</v>
      </c>
    </row>
    <row r="72" spans="1:16">
      <c r="A72" s="4" t="s">
        <v>404</v>
      </c>
      <c r="B72" s="9" t="s">
        <v>405</v>
      </c>
      <c r="C72" s="10" t="s">
        <v>406</v>
      </c>
      <c r="D72" s="10" t="s">
        <v>406</v>
      </c>
      <c r="E72" s="10" t="s">
        <v>406</v>
      </c>
      <c r="F72" s="6">
        <v>-11.0544359</v>
      </c>
      <c r="G72" s="6">
        <v>-171.06901360000001</v>
      </c>
      <c r="H72" s="5">
        <v>0</v>
      </c>
      <c r="I72" s="5">
        <v>0</v>
      </c>
      <c r="J72" s="5">
        <v>2432605</v>
      </c>
      <c r="K72" s="7">
        <f t="shared" si="6"/>
        <v>0.93923404138114641</v>
      </c>
      <c r="L72" s="7">
        <f t="shared" si="7"/>
        <v>2.4326050000000001</v>
      </c>
      <c r="M72" s="8">
        <f t="shared" si="8"/>
        <v>0</v>
      </c>
      <c r="N72" s="4" t="s">
        <v>50</v>
      </c>
      <c r="O72" s="4" t="s">
        <v>41</v>
      </c>
      <c r="P72" s="4" t="s">
        <v>43</v>
      </c>
    </row>
    <row r="73" spans="1:16">
      <c r="A73" s="4" t="s">
        <v>146</v>
      </c>
      <c r="B73" s="9" t="s">
        <v>148</v>
      </c>
      <c r="C73" s="10" t="s">
        <v>34</v>
      </c>
      <c r="D73" s="10" t="s">
        <v>136</v>
      </c>
      <c r="E73" s="10" t="s">
        <v>137</v>
      </c>
      <c r="F73" s="6">
        <v>-14.3361272</v>
      </c>
      <c r="G73" s="6">
        <v>-170.71558590000001</v>
      </c>
      <c r="H73" s="5">
        <v>7988</v>
      </c>
      <c r="I73" s="5">
        <v>680</v>
      </c>
      <c r="J73" s="5">
        <v>6417913</v>
      </c>
      <c r="K73" s="7">
        <f t="shared" si="6"/>
        <v>2.477970062637624</v>
      </c>
      <c r="L73" s="7">
        <f t="shared" si="7"/>
        <v>6.4179130000000004</v>
      </c>
      <c r="M73" s="8">
        <f t="shared" si="8"/>
        <v>3223.606338285354</v>
      </c>
      <c r="N73" s="4" t="s">
        <v>50</v>
      </c>
      <c r="O73" s="4" t="s">
        <v>41</v>
      </c>
      <c r="P73" s="4" t="s">
        <v>43</v>
      </c>
    </row>
    <row r="74" spans="1:16">
      <c r="A74" s="4" t="s">
        <v>346</v>
      </c>
      <c r="B74" s="9" t="s">
        <v>348</v>
      </c>
      <c r="C74" s="10" t="s">
        <v>34</v>
      </c>
      <c r="D74" s="10" t="s">
        <v>35</v>
      </c>
      <c r="E74" s="10" t="s">
        <v>209</v>
      </c>
      <c r="F74" s="6">
        <v>-14.362552900000001</v>
      </c>
      <c r="G74" s="6">
        <v>-170.77314720000001</v>
      </c>
      <c r="H74" s="5">
        <v>709</v>
      </c>
      <c r="I74" s="5">
        <v>78</v>
      </c>
      <c r="J74" s="5">
        <v>1581022</v>
      </c>
      <c r="K74" s="7">
        <f t="shared" si="6"/>
        <v>0.61043600690309474</v>
      </c>
      <c r="L74" s="7">
        <f t="shared" si="7"/>
        <v>1.5810219999999999</v>
      </c>
      <c r="M74" s="8">
        <f t="shared" si="8"/>
        <v>1161.4649070210435</v>
      </c>
      <c r="N74" s="4" t="s">
        <v>50</v>
      </c>
      <c r="O74" s="4" t="s">
        <v>41</v>
      </c>
      <c r="P74" s="4" t="s">
        <v>43</v>
      </c>
    </row>
    <row r="75" spans="1:16">
      <c r="A75" s="4" t="s">
        <v>350</v>
      </c>
      <c r="B75" s="9" t="s">
        <v>352</v>
      </c>
      <c r="C75" s="10" t="s">
        <v>34</v>
      </c>
      <c r="D75" s="10" t="s">
        <v>57</v>
      </c>
      <c r="E75" s="10" t="s">
        <v>63</v>
      </c>
      <c r="F75" s="6">
        <v>-14.2492942</v>
      </c>
      <c r="G75" s="6">
        <v>-170.56560579999999</v>
      </c>
      <c r="H75" s="5">
        <v>308</v>
      </c>
      <c r="I75" s="5">
        <v>34</v>
      </c>
      <c r="J75" s="5">
        <v>1307106</v>
      </c>
      <c r="K75" s="7">
        <f t="shared" si="6"/>
        <v>0.5046764480437822</v>
      </c>
      <c r="L75" s="7">
        <f t="shared" si="7"/>
        <v>1.3071060000000001</v>
      </c>
      <c r="M75" s="8">
        <f t="shared" si="8"/>
        <v>610.29200231923653</v>
      </c>
      <c r="N75" s="4" t="s">
        <v>50</v>
      </c>
      <c r="O75" s="4" t="s">
        <v>41</v>
      </c>
      <c r="P75" s="4" t="s">
        <v>43</v>
      </c>
    </row>
    <row r="76" spans="1:16">
      <c r="A76" s="4" t="s">
        <v>213</v>
      </c>
      <c r="B76" s="9" t="s">
        <v>216</v>
      </c>
      <c r="C76" s="10" t="s">
        <v>34</v>
      </c>
      <c r="D76" s="10" t="s">
        <v>57</v>
      </c>
      <c r="E76" s="10" t="s">
        <v>106</v>
      </c>
      <c r="F76" s="6">
        <v>-14.2835047</v>
      </c>
      <c r="G76" s="6">
        <v>-170.67995690000001</v>
      </c>
      <c r="H76" s="5">
        <v>479</v>
      </c>
      <c r="I76" s="5">
        <v>35</v>
      </c>
      <c r="J76" s="5">
        <v>861788</v>
      </c>
      <c r="K76" s="7">
        <f t="shared" si="6"/>
        <v>0.33273820700597728</v>
      </c>
      <c r="L76" s="7">
        <f t="shared" si="7"/>
        <v>0.861788</v>
      </c>
      <c r="M76" s="8">
        <f t="shared" si="8"/>
        <v>1439.5701783396196</v>
      </c>
      <c r="N76" s="4" t="s">
        <v>50</v>
      </c>
      <c r="O76" s="4" t="s">
        <v>41</v>
      </c>
      <c r="P76" s="4" t="s">
        <v>43</v>
      </c>
    </row>
    <row r="77" spans="1:16">
      <c r="A77" s="4" t="s">
        <v>355</v>
      </c>
      <c r="B77" s="9" t="s">
        <v>357</v>
      </c>
      <c r="C77" s="10" t="s">
        <v>34</v>
      </c>
      <c r="D77" s="10" t="s">
        <v>57</v>
      </c>
      <c r="E77" s="10" t="s">
        <v>72</v>
      </c>
      <c r="F77" s="6">
        <v>-14.2710778</v>
      </c>
      <c r="G77" s="6">
        <v>-170.567758</v>
      </c>
      <c r="H77" s="5">
        <v>55</v>
      </c>
      <c r="I77" s="5">
        <v>7</v>
      </c>
      <c r="J77" s="5">
        <v>491991</v>
      </c>
      <c r="K77" s="7">
        <f t="shared" si="6"/>
        <v>0.18995878708345645</v>
      </c>
      <c r="L77" s="7">
        <f t="shared" si="7"/>
        <v>0.49199100000000001</v>
      </c>
      <c r="M77" s="8">
        <f t="shared" si="8"/>
        <v>289.53648759526089</v>
      </c>
      <c r="N77" s="4" t="s">
        <v>50</v>
      </c>
      <c r="O77" s="4" t="s">
        <v>41</v>
      </c>
      <c r="P77" s="4" t="s">
        <v>43</v>
      </c>
    </row>
    <row r="78" spans="1:16">
      <c r="A78" s="4" t="s">
        <v>359</v>
      </c>
      <c r="B78" s="9" t="s">
        <v>361</v>
      </c>
      <c r="C78" s="10" t="s">
        <v>34</v>
      </c>
      <c r="D78" s="10" t="s">
        <v>35</v>
      </c>
      <c r="E78" s="10" t="s">
        <v>49</v>
      </c>
      <c r="F78" s="6">
        <v>-14.3237323</v>
      </c>
      <c r="G78" s="6">
        <v>-170.8171467</v>
      </c>
      <c r="H78" s="5">
        <v>42</v>
      </c>
      <c r="I78" s="5">
        <v>3</v>
      </c>
      <c r="J78" s="5">
        <v>672965</v>
      </c>
      <c r="K78" s="7">
        <f t="shared" si="6"/>
        <v>0.25983323912351708</v>
      </c>
      <c r="L78" s="7">
        <f t="shared" si="7"/>
        <v>0.67296500000000004</v>
      </c>
      <c r="M78" s="8">
        <f t="shared" si="8"/>
        <v>161.64213686315335</v>
      </c>
      <c r="N78" s="4" t="s">
        <v>50</v>
      </c>
      <c r="O78" s="4" t="s">
        <v>41</v>
      </c>
      <c r="P78" s="4" t="s">
        <v>43</v>
      </c>
    </row>
    <row r="79" spans="1:16">
      <c r="A79" s="4" t="s">
        <v>363</v>
      </c>
      <c r="B79" s="9" t="s">
        <v>365</v>
      </c>
      <c r="C79" s="10" t="s">
        <v>34</v>
      </c>
      <c r="D79" s="10" t="s">
        <v>57</v>
      </c>
      <c r="E79" s="10" t="s">
        <v>58</v>
      </c>
      <c r="F79" s="6">
        <v>-14.2687142</v>
      </c>
      <c r="G79" s="6">
        <v>-170.62037699999999</v>
      </c>
      <c r="H79" s="5">
        <v>65</v>
      </c>
      <c r="I79" s="5">
        <v>3</v>
      </c>
      <c r="J79" s="5">
        <v>304545</v>
      </c>
      <c r="K79" s="7">
        <f t="shared" si="6"/>
        <v>0.11758548187330917</v>
      </c>
      <c r="L79" s="7">
        <f t="shared" si="7"/>
        <v>0.30454500000000001</v>
      </c>
      <c r="M79" s="8">
        <f t="shared" si="8"/>
        <v>552.78933219011969</v>
      </c>
      <c r="N79" s="4" t="s">
        <v>50</v>
      </c>
      <c r="O79" s="4" t="s">
        <v>41</v>
      </c>
      <c r="P79" s="4" t="s">
        <v>43</v>
      </c>
    </row>
    <row r="80" spans="1:16">
      <c r="A80" s="4" t="s">
        <v>367</v>
      </c>
      <c r="B80" s="9" t="s">
        <v>369</v>
      </c>
      <c r="C80" s="10" t="s">
        <v>34</v>
      </c>
      <c r="D80" s="10" t="s">
        <v>35</v>
      </c>
      <c r="E80" s="10" t="s">
        <v>209</v>
      </c>
      <c r="F80" s="6">
        <v>-14.3580144</v>
      </c>
      <c r="G80" s="6">
        <v>-170.78197650000001</v>
      </c>
      <c r="H80" s="5">
        <v>1195</v>
      </c>
      <c r="I80" s="5">
        <v>104</v>
      </c>
      <c r="J80" s="5">
        <v>1041195</v>
      </c>
      <c r="K80" s="7">
        <f t="shared" si="6"/>
        <v>0.40200763696360187</v>
      </c>
      <c r="L80" s="7">
        <f t="shared" si="7"/>
        <v>1.0411950000000001</v>
      </c>
      <c r="M80" s="8">
        <f t="shared" si="8"/>
        <v>2972.5803445574752</v>
      </c>
      <c r="N80" s="4" t="s">
        <v>50</v>
      </c>
      <c r="O80" s="4" t="s">
        <v>41</v>
      </c>
      <c r="P80" s="4" t="s">
        <v>43</v>
      </c>
    </row>
    <row r="81" spans="1:16">
      <c r="A81" s="4" t="s">
        <v>372</v>
      </c>
      <c r="B81" s="9" t="s">
        <v>374</v>
      </c>
      <c r="C81" s="10" t="s">
        <v>34</v>
      </c>
      <c r="D81" s="10" t="s">
        <v>35</v>
      </c>
      <c r="E81" s="10" t="s">
        <v>187</v>
      </c>
      <c r="F81" s="6">
        <v>-14.3623365</v>
      </c>
      <c r="G81" s="6">
        <v>-170.74152649999999</v>
      </c>
      <c r="H81" s="5">
        <v>1921</v>
      </c>
      <c r="I81" s="5">
        <v>184</v>
      </c>
      <c r="J81" s="5">
        <v>3551182</v>
      </c>
      <c r="K81" s="7">
        <f t="shared" si="6"/>
        <v>1.3711190355770799</v>
      </c>
      <c r="L81" s="7">
        <f t="shared" si="7"/>
        <v>3.5511819999999998</v>
      </c>
      <c r="M81" s="8">
        <f t="shared" si="8"/>
        <v>1401.0453871289774</v>
      </c>
      <c r="N81" s="4" t="s">
        <v>50</v>
      </c>
      <c r="O81" s="4" t="s">
        <v>41</v>
      </c>
      <c r="P81" s="4" t="s">
        <v>43</v>
      </c>
    </row>
    <row r="82" spans="1:16">
      <c r="A82" s="4" t="s">
        <v>376</v>
      </c>
      <c r="B82" s="9" t="s">
        <v>378</v>
      </c>
      <c r="C82" s="10" t="s">
        <v>34</v>
      </c>
      <c r="D82" s="10" t="s">
        <v>57</v>
      </c>
      <c r="E82" s="10" t="s">
        <v>63</v>
      </c>
      <c r="F82" s="6">
        <v>-14.234840500000001</v>
      </c>
      <c r="G82" s="6">
        <v>-170.6709625</v>
      </c>
      <c r="H82" s="5">
        <v>460</v>
      </c>
      <c r="I82" s="5">
        <v>52</v>
      </c>
      <c r="J82" s="5">
        <v>6464464</v>
      </c>
      <c r="K82" s="7">
        <f t="shared" si="6"/>
        <v>2.4959435042199334</v>
      </c>
      <c r="L82" s="7">
        <f t="shared" si="7"/>
        <v>6.4644640000000004</v>
      </c>
      <c r="M82" s="8">
        <f t="shared" si="8"/>
        <v>184.29904331659364</v>
      </c>
      <c r="N82" s="4" t="s">
        <v>50</v>
      </c>
      <c r="O82" s="4" t="s">
        <v>41</v>
      </c>
      <c r="P82" s="4" t="s">
        <v>43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2" width="12" customWidth="1"/>
    <col min="3" max="3" width="24" customWidth="1"/>
    <col min="4" max="4" width="13" customWidth="1"/>
    <col min="5" max="5" width="18" customWidth="1"/>
    <col min="6" max="7" width="12" customWidth="1"/>
    <col min="8" max="8" width="15" customWidth="1"/>
    <col min="9" max="9" width="18" customWidth="1"/>
    <col min="10" max="10" width="17" customWidth="1"/>
    <col min="11" max="12" width="16" customWidth="1"/>
    <col min="13" max="13" width="18" customWidth="1"/>
    <col min="14" max="14" width="25" customWidth="1"/>
    <col min="15" max="15" width="18" customWidth="1"/>
  </cols>
  <sheetData>
    <row r="1" spans="1:15" ht="34.049999999999997" customHeight="1">
      <c r="A1" s="15" t="s">
        <v>407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30" customHeight="1">
      <c r="A2" s="16" t="s">
        <v>408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14.4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25.95" customHeight="1">
      <c r="A4" s="1" t="s">
        <v>409</v>
      </c>
      <c r="B4" s="2">
        <v>16</v>
      </c>
      <c r="C4" s="1" t="s">
        <v>6</v>
      </c>
      <c r="D4" s="2">
        <v>49710</v>
      </c>
      <c r="E4" s="1" t="s">
        <v>7</v>
      </c>
      <c r="F4" s="2">
        <v>4569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ht="43.95" customHeight="1">
      <c r="A5" s="3" t="s">
        <v>14</v>
      </c>
      <c r="B5" s="3" t="s">
        <v>410</v>
      </c>
      <c r="C5" s="3" t="s">
        <v>13</v>
      </c>
      <c r="D5" s="3" t="s">
        <v>411</v>
      </c>
      <c r="E5" s="3" t="s">
        <v>12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412</v>
      </c>
    </row>
    <row r="6" spans="1:15">
      <c r="A6" s="4" t="s">
        <v>164</v>
      </c>
      <c r="B6" s="9" t="s">
        <v>413</v>
      </c>
      <c r="C6" s="9" t="s">
        <v>57</v>
      </c>
      <c r="D6" s="9" t="s">
        <v>414</v>
      </c>
      <c r="E6" s="4" t="s">
        <v>34</v>
      </c>
      <c r="F6" s="6">
        <v>-14.3015512</v>
      </c>
      <c r="G6" s="6">
        <v>-170.7149422</v>
      </c>
      <c r="H6" s="5">
        <v>3431</v>
      </c>
      <c r="I6" s="5">
        <v>311</v>
      </c>
      <c r="J6" s="5">
        <v>12986619</v>
      </c>
      <c r="K6" s="7">
        <f t="shared" ref="K6:K21" si="0">IF(J6=0,0,J6/2589988.110336)</f>
        <v>5.0141616280683392</v>
      </c>
      <c r="L6" s="7">
        <f t="shared" ref="L6:L21" si="1">IF(J6=0,0,J6/1000000)</f>
        <v>12.986618999999999</v>
      </c>
      <c r="M6" s="8">
        <f t="shared" ref="M6:M21" si="2">IF(K6=0,0,H6/K6)</f>
        <v>684.2619473600339</v>
      </c>
      <c r="N6" s="4" t="s">
        <v>50</v>
      </c>
      <c r="O6" s="4" t="s">
        <v>41</v>
      </c>
    </row>
    <row r="7" spans="1:15">
      <c r="A7" s="4" t="s">
        <v>106</v>
      </c>
      <c r="B7" s="9" t="s">
        <v>415</v>
      </c>
      <c r="C7" s="9" t="s">
        <v>57</v>
      </c>
      <c r="D7" s="9" t="s">
        <v>414</v>
      </c>
      <c r="E7" s="4" t="s">
        <v>34</v>
      </c>
      <c r="F7" s="6">
        <v>-14.252446000000001</v>
      </c>
      <c r="G7" s="6">
        <v>-170.70102800000001</v>
      </c>
      <c r="H7" s="5">
        <v>8568</v>
      </c>
      <c r="I7" s="5">
        <v>697</v>
      </c>
      <c r="J7" s="5">
        <v>17111108</v>
      </c>
      <c r="K7" s="7">
        <f t="shared" si="0"/>
        <v>6.6066357338529134</v>
      </c>
      <c r="L7" s="7">
        <f t="shared" si="1"/>
        <v>17.111108000000002</v>
      </c>
      <c r="M7" s="8">
        <f t="shared" si="2"/>
        <v>1296.8779186805932</v>
      </c>
      <c r="N7" s="4" t="s">
        <v>50</v>
      </c>
      <c r="O7" s="4" t="s">
        <v>41</v>
      </c>
    </row>
    <row r="8" spans="1:15">
      <c r="A8" s="4" t="s">
        <v>72</v>
      </c>
      <c r="B8" s="9" t="s">
        <v>416</v>
      </c>
      <c r="C8" s="9" t="s">
        <v>57</v>
      </c>
      <c r="D8" s="9" t="s">
        <v>414</v>
      </c>
      <c r="E8" s="4" t="s">
        <v>34</v>
      </c>
      <c r="F8" s="6">
        <v>-14.288377000000001</v>
      </c>
      <c r="G8" s="6">
        <v>-170.5574383</v>
      </c>
      <c r="H8" s="5">
        <v>1158</v>
      </c>
      <c r="I8" s="5">
        <v>100</v>
      </c>
      <c r="J8" s="5">
        <v>5954576</v>
      </c>
      <c r="K8" s="7">
        <f t="shared" si="0"/>
        <v>2.2990746468050429</v>
      </c>
      <c r="L8" s="7">
        <f t="shared" si="1"/>
        <v>5.9545760000000003</v>
      </c>
      <c r="M8" s="8">
        <f t="shared" si="2"/>
        <v>503.68090553703371</v>
      </c>
      <c r="N8" s="4" t="s">
        <v>50</v>
      </c>
      <c r="O8" s="4" t="s">
        <v>41</v>
      </c>
    </row>
    <row r="9" spans="1:15">
      <c r="A9" s="4" t="s">
        <v>58</v>
      </c>
      <c r="B9" s="9" t="s">
        <v>417</v>
      </c>
      <c r="C9" s="9" t="s">
        <v>57</v>
      </c>
      <c r="D9" s="9" t="s">
        <v>414</v>
      </c>
      <c r="E9" s="4" t="s">
        <v>34</v>
      </c>
      <c r="F9" s="6">
        <v>-14.2760947</v>
      </c>
      <c r="G9" s="6">
        <v>-170.63109850000001</v>
      </c>
      <c r="H9" s="5">
        <v>2415</v>
      </c>
      <c r="I9" s="5">
        <v>198</v>
      </c>
      <c r="J9" s="5">
        <v>17200142</v>
      </c>
      <c r="K9" s="7">
        <f t="shared" si="0"/>
        <v>6.641011953436581</v>
      </c>
      <c r="L9" s="7">
        <f t="shared" si="1"/>
        <v>17.200142</v>
      </c>
      <c r="M9" s="8">
        <f t="shared" si="2"/>
        <v>363.64939815388971</v>
      </c>
      <c r="N9" s="4" t="s">
        <v>50</v>
      </c>
      <c r="O9" s="4" t="s">
        <v>41</v>
      </c>
    </row>
    <row r="10" spans="1:15">
      <c r="A10" s="4" t="s">
        <v>63</v>
      </c>
      <c r="B10" s="9" t="s">
        <v>418</v>
      </c>
      <c r="C10" s="9" t="s">
        <v>57</v>
      </c>
      <c r="D10" s="9" t="s">
        <v>414</v>
      </c>
      <c r="E10" s="4" t="s">
        <v>34</v>
      </c>
      <c r="F10" s="6">
        <v>-14.248007100000001</v>
      </c>
      <c r="G10" s="6">
        <v>-170.57750870000001</v>
      </c>
      <c r="H10" s="5">
        <v>1487</v>
      </c>
      <c r="I10" s="5">
        <v>138</v>
      </c>
      <c r="J10" s="5">
        <v>11872421</v>
      </c>
      <c r="K10" s="7">
        <f t="shared" si="0"/>
        <v>4.5839673752246632</v>
      </c>
      <c r="L10" s="7">
        <f t="shared" si="1"/>
        <v>11.872420999999999</v>
      </c>
      <c r="M10" s="8">
        <f t="shared" si="2"/>
        <v>324.39148848155168</v>
      </c>
      <c r="N10" s="4" t="s">
        <v>50</v>
      </c>
      <c r="O10" s="4" t="s">
        <v>41</v>
      </c>
    </row>
    <row r="11" spans="1:15">
      <c r="A11" s="4" t="s">
        <v>180</v>
      </c>
      <c r="B11" s="9" t="s">
        <v>419</v>
      </c>
      <c r="C11" s="9" t="s">
        <v>182</v>
      </c>
      <c r="D11" s="9" t="s">
        <v>420</v>
      </c>
      <c r="E11" s="4" t="s">
        <v>181</v>
      </c>
      <c r="F11" s="6">
        <v>-14.219693599999999</v>
      </c>
      <c r="G11" s="6">
        <v>-169.50732679999999</v>
      </c>
      <c r="H11" s="5">
        <v>104</v>
      </c>
      <c r="I11" s="5">
        <v>13</v>
      </c>
      <c r="J11" s="5">
        <v>6931132</v>
      </c>
      <c r="K11" s="7">
        <f t="shared" si="0"/>
        <v>2.6761250263426195</v>
      </c>
      <c r="L11" s="7">
        <f t="shared" si="1"/>
        <v>6.9311319999999998</v>
      </c>
      <c r="M11" s="8">
        <f t="shared" si="2"/>
        <v>38.862160390964135</v>
      </c>
      <c r="N11" s="4" t="s">
        <v>50</v>
      </c>
      <c r="O11" s="4" t="s">
        <v>41</v>
      </c>
    </row>
    <row r="12" spans="1:15">
      <c r="A12" s="4" t="s">
        <v>198</v>
      </c>
      <c r="B12" s="9" t="s">
        <v>421</v>
      </c>
      <c r="C12" s="9" t="s">
        <v>182</v>
      </c>
      <c r="D12" s="9" t="s">
        <v>420</v>
      </c>
      <c r="E12" s="4" t="s">
        <v>181</v>
      </c>
      <c r="F12" s="6">
        <v>-14.225126100000001</v>
      </c>
      <c r="G12" s="6">
        <v>-169.42533599999999</v>
      </c>
      <c r="H12" s="5">
        <v>213</v>
      </c>
      <c r="I12" s="5">
        <v>23</v>
      </c>
      <c r="J12" s="5">
        <v>22328163</v>
      </c>
      <c r="K12" s="7">
        <f t="shared" si="0"/>
        <v>8.620951930587573</v>
      </c>
      <c r="L12" s="7">
        <f t="shared" si="1"/>
        <v>22.328163</v>
      </c>
      <c r="M12" s="8">
        <f t="shared" si="2"/>
        <v>24.707248307958341</v>
      </c>
      <c r="N12" s="4" t="s">
        <v>50</v>
      </c>
      <c r="O12" s="4" t="s">
        <v>41</v>
      </c>
    </row>
    <row r="13" spans="1:15">
      <c r="A13" s="4" t="s">
        <v>282</v>
      </c>
      <c r="B13" s="9" t="s">
        <v>422</v>
      </c>
      <c r="C13" s="9" t="s">
        <v>182</v>
      </c>
      <c r="D13" s="9" t="s">
        <v>420</v>
      </c>
      <c r="E13" s="4" t="s">
        <v>283</v>
      </c>
      <c r="F13" s="6">
        <v>-14.168521800000001</v>
      </c>
      <c r="G13" s="6">
        <v>-169.67420229999999</v>
      </c>
      <c r="H13" s="5">
        <v>132</v>
      </c>
      <c r="I13" s="5">
        <v>16</v>
      </c>
      <c r="J13" s="5">
        <v>7310058</v>
      </c>
      <c r="K13" s="7">
        <f t="shared" si="0"/>
        <v>2.8224291728704745</v>
      </c>
      <c r="L13" s="7">
        <f t="shared" si="1"/>
        <v>7.3100579999999997</v>
      </c>
      <c r="M13" s="8">
        <f t="shared" si="2"/>
        <v>46.768224077613617</v>
      </c>
      <c r="N13" s="4" t="s">
        <v>50</v>
      </c>
      <c r="O13" s="4" t="s">
        <v>41</v>
      </c>
    </row>
    <row r="14" spans="1:15">
      <c r="A14" s="4" t="s">
        <v>287</v>
      </c>
      <c r="B14" s="9" t="s">
        <v>423</v>
      </c>
      <c r="C14" s="9" t="s">
        <v>182</v>
      </c>
      <c r="D14" s="9" t="s">
        <v>420</v>
      </c>
      <c r="E14" s="4" t="s">
        <v>288</v>
      </c>
      <c r="F14" s="6">
        <v>-14.1654003</v>
      </c>
      <c r="G14" s="6">
        <v>-169.6159916</v>
      </c>
      <c r="H14" s="5">
        <v>147</v>
      </c>
      <c r="I14" s="5">
        <v>15</v>
      </c>
      <c r="J14" s="5">
        <v>5178696</v>
      </c>
      <c r="K14" s="7">
        <f t="shared" si="0"/>
        <v>1.9995057040351301</v>
      </c>
      <c r="L14" s="7">
        <f t="shared" si="1"/>
        <v>5.1786960000000004</v>
      </c>
      <c r="M14" s="8">
        <f t="shared" si="2"/>
        <v>73.518169867355027</v>
      </c>
      <c r="N14" s="4" t="s">
        <v>50</v>
      </c>
      <c r="O14" s="4" t="s">
        <v>41</v>
      </c>
    </row>
    <row r="15" spans="1:15">
      <c r="A15" s="4" t="s">
        <v>334</v>
      </c>
      <c r="B15" s="9" t="s">
        <v>424</v>
      </c>
      <c r="C15" s="9" t="s">
        <v>182</v>
      </c>
      <c r="D15" s="9" t="s">
        <v>420</v>
      </c>
      <c r="E15" s="4" t="s">
        <v>181</v>
      </c>
      <c r="F15" s="6">
        <v>-14.2487771</v>
      </c>
      <c r="G15" s="6">
        <v>-169.49415629999999</v>
      </c>
      <c r="H15" s="5">
        <v>236</v>
      </c>
      <c r="I15" s="5">
        <v>22</v>
      </c>
      <c r="J15" s="5">
        <v>15872944</v>
      </c>
      <c r="K15" s="7">
        <f t="shared" si="0"/>
        <v>6.128577940823364</v>
      </c>
      <c r="L15" s="7">
        <f t="shared" si="1"/>
        <v>15.872944</v>
      </c>
      <c r="M15" s="8">
        <f t="shared" si="2"/>
        <v>38.508117589232093</v>
      </c>
      <c r="N15" s="4" t="s">
        <v>50</v>
      </c>
      <c r="O15" s="4" t="s">
        <v>41</v>
      </c>
    </row>
    <row r="16" spans="1:15">
      <c r="A16" s="4" t="s">
        <v>425</v>
      </c>
      <c r="B16" s="9" t="s">
        <v>426</v>
      </c>
      <c r="C16" s="9" t="s">
        <v>425</v>
      </c>
      <c r="D16" s="9" t="s">
        <v>427</v>
      </c>
      <c r="E16" s="4" t="s">
        <v>428</v>
      </c>
      <c r="F16" s="6">
        <v>-14.5365298</v>
      </c>
      <c r="G16" s="6">
        <v>-168.1512918</v>
      </c>
      <c r="H16" s="5">
        <v>0</v>
      </c>
      <c r="I16" s="5">
        <v>0</v>
      </c>
      <c r="J16" s="5">
        <v>82093</v>
      </c>
      <c r="K16" s="7">
        <f t="shared" si="0"/>
        <v>3.1696284501225004E-2</v>
      </c>
      <c r="L16" s="7">
        <f t="shared" si="1"/>
        <v>8.2092999999999999E-2</v>
      </c>
      <c r="M16" s="8">
        <f t="shared" si="2"/>
        <v>0</v>
      </c>
      <c r="N16" s="4" t="s">
        <v>50</v>
      </c>
      <c r="O16" s="4" t="s">
        <v>41</v>
      </c>
    </row>
    <row r="17" spans="1:15">
      <c r="A17" s="4" t="s">
        <v>406</v>
      </c>
      <c r="B17" s="9" t="s">
        <v>429</v>
      </c>
      <c r="C17" s="9" t="s">
        <v>406</v>
      </c>
      <c r="D17" s="9" t="s">
        <v>430</v>
      </c>
      <c r="E17" s="4" t="s">
        <v>406</v>
      </c>
      <c r="F17" s="6">
        <v>-11.0544359</v>
      </c>
      <c r="G17" s="6">
        <v>-171.06901360000001</v>
      </c>
      <c r="H17" s="5">
        <v>0</v>
      </c>
      <c r="I17" s="5">
        <v>0</v>
      </c>
      <c r="J17" s="5">
        <v>2432605</v>
      </c>
      <c r="K17" s="7">
        <f t="shared" si="0"/>
        <v>0.93923404138114641</v>
      </c>
      <c r="L17" s="7">
        <f t="shared" si="1"/>
        <v>2.4326050000000001</v>
      </c>
      <c r="M17" s="8">
        <f t="shared" si="2"/>
        <v>0</v>
      </c>
      <c r="N17" s="4" t="s">
        <v>50</v>
      </c>
      <c r="O17" s="4" t="s">
        <v>41</v>
      </c>
    </row>
    <row r="18" spans="1:15">
      <c r="A18" s="4" t="s">
        <v>49</v>
      </c>
      <c r="B18" s="9" t="s">
        <v>431</v>
      </c>
      <c r="C18" s="9" t="s">
        <v>35</v>
      </c>
      <c r="D18" s="9" t="s">
        <v>432</v>
      </c>
      <c r="E18" s="4" t="s">
        <v>34</v>
      </c>
      <c r="F18" s="6">
        <v>-14.318975200000001</v>
      </c>
      <c r="G18" s="6">
        <v>-170.82934119999999</v>
      </c>
      <c r="H18" s="5">
        <v>4293</v>
      </c>
      <c r="I18" s="5">
        <v>382</v>
      </c>
      <c r="J18" s="5">
        <v>23195677</v>
      </c>
      <c r="K18" s="7">
        <f t="shared" si="0"/>
        <v>8.9559009585533644</v>
      </c>
      <c r="L18" s="7">
        <f t="shared" si="1"/>
        <v>23.195677</v>
      </c>
      <c r="M18" s="8">
        <f t="shared" si="2"/>
        <v>479.3487578600292</v>
      </c>
      <c r="N18" s="4" t="s">
        <v>50</v>
      </c>
      <c r="O18" s="4" t="s">
        <v>41</v>
      </c>
    </row>
    <row r="19" spans="1:15">
      <c r="A19" s="4" t="s">
        <v>36</v>
      </c>
      <c r="B19" s="9" t="s">
        <v>433</v>
      </c>
      <c r="C19" s="9" t="s">
        <v>35</v>
      </c>
      <c r="D19" s="9" t="s">
        <v>432</v>
      </c>
      <c r="E19" s="4" t="s">
        <v>34</v>
      </c>
      <c r="F19" s="6">
        <v>-14.301274100000001</v>
      </c>
      <c r="G19" s="6">
        <v>-170.7626071</v>
      </c>
      <c r="H19" s="5">
        <v>1689</v>
      </c>
      <c r="I19" s="5">
        <v>180</v>
      </c>
      <c r="J19" s="5">
        <v>18709311</v>
      </c>
      <c r="K19" s="7">
        <f t="shared" si="0"/>
        <v>7.223705361941926</v>
      </c>
      <c r="L19" s="7">
        <f t="shared" si="1"/>
        <v>18.709311</v>
      </c>
      <c r="M19" s="8">
        <f t="shared" si="2"/>
        <v>233.81352302912191</v>
      </c>
      <c r="N19" s="4" t="s">
        <v>50</v>
      </c>
      <c r="O19" s="4" t="s">
        <v>41</v>
      </c>
    </row>
    <row r="20" spans="1:15">
      <c r="A20" s="4" t="s">
        <v>209</v>
      </c>
      <c r="B20" s="9" t="s">
        <v>434</v>
      </c>
      <c r="C20" s="9" t="s">
        <v>35</v>
      </c>
      <c r="D20" s="9" t="s">
        <v>432</v>
      </c>
      <c r="E20" s="4" t="s">
        <v>34</v>
      </c>
      <c r="F20" s="6">
        <v>-14.361151899999999</v>
      </c>
      <c r="G20" s="6">
        <v>-170.75842420000001</v>
      </c>
      <c r="H20" s="5">
        <v>3010</v>
      </c>
      <c r="I20" s="5">
        <v>288</v>
      </c>
      <c r="J20" s="5">
        <v>6712094</v>
      </c>
      <c r="K20" s="7">
        <f t="shared" si="0"/>
        <v>2.5915539817397995</v>
      </c>
      <c r="L20" s="7">
        <f t="shared" si="1"/>
        <v>6.7120939999999996</v>
      </c>
      <c r="M20" s="8">
        <f t="shared" si="2"/>
        <v>1161.4652911761009</v>
      </c>
      <c r="N20" s="4" t="s">
        <v>50</v>
      </c>
      <c r="O20" s="4" t="s">
        <v>41</v>
      </c>
    </row>
    <row r="21" spans="1:15">
      <c r="A21" s="4" t="s">
        <v>187</v>
      </c>
      <c r="B21" s="9" t="s">
        <v>435</v>
      </c>
      <c r="C21" s="9" t="s">
        <v>35</v>
      </c>
      <c r="D21" s="9" t="s">
        <v>432</v>
      </c>
      <c r="E21" s="4" t="s">
        <v>34</v>
      </c>
      <c r="F21" s="6">
        <v>-14.353924299999999</v>
      </c>
      <c r="G21" s="6">
        <v>-170.73207239999999</v>
      </c>
      <c r="H21" s="5">
        <v>22827</v>
      </c>
      <c r="I21" s="5">
        <v>2186</v>
      </c>
      <c r="J21" s="5">
        <v>23881430</v>
      </c>
      <c r="K21" s="7">
        <f t="shared" si="0"/>
        <v>9.2206716720803215</v>
      </c>
      <c r="L21" s="7">
        <f t="shared" si="1"/>
        <v>23.881430000000002</v>
      </c>
      <c r="M21" s="8">
        <f t="shared" si="2"/>
        <v>2475.6331004734589</v>
      </c>
      <c r="N21" s="4" t="s">
        <v>50</v>
      </c>
      <c r="O21" s="4" t="s">
        <v>41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pane ySplit="4" topLeftCell="A5" activePane="bottomLeft" state="frozen"/>
      <selection pane="bottomLeft" sqref="A1:E1"/>
    </sheetView>
  </sheetViews>
  <sheetFormatPr defaultRowHeight="13.8"/>
  <cols>
    <col min="1" max="1" width="17" customWidth="1"/>
    <col min="2" max="2" width="31" customWidth="1"/>
    <col min="3" max="3" width="34" customWidth="1"/>
    <col min="4" max="4" width="68" customWidth="1"/>
    <col min="5" max="5" width="74" customWidth="1"/>
  </cols>
  <sheetData>
    <row r="1" spans="1:5" ht="34.049999999999997" customHeight="1">
      <c r="A1" s="15" t="s">
        <v>436</v>
      </c>
      <c r="B1" s="15"/>
      <c r="C1" s="15"/>
      <c r="D1" s="15"/>
      <c r="E1" s="15"/>
    </row>
    <row r="2" spans="1:5" ht="30" customHeight="1">
      <c r="A2" s="16" t="s">
        <v>437</v>
      </c>
      <c r="B2" s="16"/>
      <c r="C2" s="16"/>
      <c r="D2" s="16"/>
      <c r="E2" s="16"/>
    </row>
    <row r="3" spans="1:5" ht="14.4">
      <c r="A3" s="14"/>
      <c r="B3" s="14"/>
      <c r="C3" s="14"/>
      <c r="D3" s="14"/>
      <c r="E3" s="14"/>
    </row>
    <row r="4" spans="1:5" ht="43.95" customHeight="1">
      <c r="A4" s="3" t="s">
        <v>412</v>
      </c>
      <c r="B4" s="3" t="s">
        <v>438</v>
      </c>
      <c r="C4" s="3" t="s">
        <v>439</v>
      </c>
      <c r="D4" s="3" t="s">
        <v>440</v>
      </c>
      <c r="E4" s="3" t="s">
        <v>441</v>
      </c>
    </row>
    <row r="5" spans="1:5" ht="54" customHeight="1">
      <c r="A5" s="10" t="s">
        <v>41</v>
      </c>
      <c r="B5" s="10" t="s">
        <v>442</v>
      </c>
      <c r="C5" s="10" t="s">
        <v>443</v>
      </c>
      <c r="D5" s="10" t="s">
        <v>444</v>
      </c>
      <c r="E5" s="10" t="s">
        <v>445</v>
      </c>
    </row>
    <row r="6" spans="1:5" ht="54" customHeight="1">
      <c r="A6" s="10" t="s">
        <v>446</v>
      </c>
      <c r="B6" s="10" t="s">
        <v>447</v>
      </c>
      <c r="C6" s="10" t="s">
        <v>448</v>
      </c>
      <c r="D6" s="10" t="s">
        <v>449</v>
      </c>
      <c r="E6" s="10" t="s">
        <v>450</v>
      </c>
    </row>
    <row r="7" spans="1:5" ht="54" customHeight="1">
      <c r="A7" s="10" t="s">
        <v>451</v>
      </c>
      <c r="B7" s="10" t="s">
        <v>452</v>
      </c>
      <c r="C7" s="10" t="s">
        <v>453</v>
      </c>
      <c r="D7" s="10" t="s">
        <v>454</v>
      </c>
      <c r="E7" s="10" t="s">
        <v>455</v>
      </c>
    </row>
    <row r="8" spans="1:5" ht="54" customHeight="1">
      <c r="A8" s="10" t="s">
        <v>42</v>
      </c>
      <c r="B8" s="10" t="s">
        <v>456</v>
      </c>
      <c r="C8" s="10" t="s">
        <v>457</v>
      </c>
      <c r="D8" s="10" t="s">
        <v>458</v>
      </c>
      <c r="E8" s="10" t="s">
        <v>459</v>
      </c>
    </row>
    <row r="9" spans="1:5" ht="54" customHeight="1">
      <c r="A9" s="10" t="s">
        <v>217</v>
      </c>
      <c r="B9" s="10" t="s">
        <v>460</v>
      </c>
      <c r="C9" s="10" t="s">
        <v>461</v>
      </c>
      <c r="D9" s="10" t="s">
        <v>462</v>
      </c>
      <c r="E9" s="10" t="s">
        <v>463</v>
      </c>
    </row>
    <row r="10" spans="1:5" ht="54" customHeight="1">
      <c r="A10" s="10" t="s">
        <v>464</v>
      </c>
      <c r="B10" s="10" t="s">
        <v>465</v>
      </c>
      <c r="C10" s="10" t="s">
        <v>466</v>
      </c>
      <c r="D10" s="10" t="s">
        <v>467</v>
      </c>
      <c r="E10" s="10"/>
    </row>
    <row r="11" spans="1:5" ht="14.4">
      <c r="A11" s="14"/>
      <c r="B11" s="14"/>
      <c r="C11" s="14"/>
      <c r="D11" s="14"/>
      <c r="E11" s="14"/>
    </row>
    <row r="12" spans="1:5" ht="25.95" customHeight="1">
      <c r="A12" s="18" t="s">
        <v>468</v>
      </c>
      <c r="B12" s="18"/>
      <c r="C12" s="18"/>
      <c r="D12" s="18"/>
      <c r="E12" s="18"/>
    </row>
    <row r="13" spans="1:5" ht="43.95" customHeight="1">
      <c r="A13" s="12" t="s">
        <v>469</v>
      </c>
      <c r="B13" s="19" t="s">
        <v>470</v>
      </c>
      <c r="C13" s="19"/>
      <c r="D13" s="19"/>
      <c r="E13" s="19"/>
    </row>
    <row r="14" spans="1:5" ht="43.95" customHeight="1">
      <c r="A14" s="13" t="s">
        <v>7</v>
      </c>
      <c r="B14" s="20" t="s">
        <v>471</v>
      </c>
      <c r="C14" s="20"/>
      <c r="D14" s="20"/>
      <c r="E14" s="20"/>
    </row>
    <row r="15" spans="1:5" ht="43.95" customHeight="1">
      <c r="A15" s="12" t="s">
        <v>472</v>
      </c>
      <c r="B15" s="19" t="s">
        <v>473</v>
      </c>
      <c r="C15" s="19"/>
      <c r="D15" s="19"/>
      <c r="E15" s="19"/>
    </row>
    <row r="16" spans="1:5" ht="43.95" customHeight="1">
      <c r="A16" s="13" t="s">
        <v>474</v>
      </c>
      <c r="B16" s="20" t="s">
        <v>475</v>
      </c>
      <c r="C16" s="20"/>
      <c r="D16" s="20"/>
      <c r="E16" s="20"/>
    </row>
    <row r="17" spans="1:5" ht="43.95" customHeight="1">
      <c r="A17" s="12" t="s">
        <v>476</v>
      </c>
      <c r="B17" s="19" t="s">
        <v>477</v>
      </c>
      <c r="C17" s="19"/>
      <c r="D17" s="19"/>
      <c r="E17" s="19"/>
    </row>
    <row r="18" spans="1:5" ht="43.95" customHeight="1">
      <c r="A18" s="13" t="s">
        <v>478</v>
      </c>
      <c r="B18" s="20" t="s">
        <v>479</v>
      </c>
      <c r="C18" s="20"/>
      <c r="D18" s="20"/>
      <c r="E18" s="20"/>
    </row>
    <row r="19" spans="1:5" ht="43.95" customHeight="1">
      <c r="A19" s="12" t="s">
        <v>480</v>
      </c>
      <c r="B19" s="19" t="s">
        <v>481</v>
      </c>
      <c r="C19" s="19"/>
      <c r="D19" s="19"/>
      <c r="E19" s="19"/>
    </row>
    <row r="20" spans="1:5" ht="43.95" customHeight="1">
      <c r="A20" s="13" t="s">
        <v>482</v>
      </c>
      <c r="B20" s="20" t="s">
        <v>483</v>
      </c>
      <c r="C20" s="20"/>
      <c r="D20" s="20"/>
      <c r="E20" s="20"/>
    </row>
    <row r="21" spans="1:5" ht="43.95" customHeight="1">
      <c r="A21" s="12" t="s">
        <v>484</v>
      </c>
      <c r="B21" s="19" t="s">
        <v>485</v>
      </c>
      <c r="C21" s="19"/>
      <c r="D21" s="19"/>
      <c r="E21" s="19"/>
    </row>
  </sheetData>
  <mergeCells count="12">
    <mergeCell ref="B20:E20"/>
    <mergeCell ref="B21:E21"/>
    <mergeCell ref="B15:E15"/>
    <mergeCell ref="B16:E16"/>
    <mergeCell ref="B17:E17"/>
    <mergeCell ref="B18:E18"/>
    <mergeCell ref="B19:E19"/>
    <mergeCell ref="A1:E1"/>
    <mergeCell ref="A2:E2"/>
    <mergeCell ref="A12:E12"/>
    <mergeCell ref="B13:E13"/>
    <mergeCell ref="B14:E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IIS Crosswalk</vt:lpstr>
      <vt:lpstr>Official Villages</vt:lpstr>
      <vt:lpstr>Counties</vt:lpstr>
      <vt:lpstr>Sources &amp;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Tippins, Ashley (CDC/NCIRD/ISD)</dc:creator>
  <cp:lastModifiedBy>Tippins, Ashley (CDC/NCIRD/ISD)</cp:lastModifiedBy>
  <dcterms:created xsi:type="dcterms:W3CDTF">2026-09-29T16:25:47Z</dcterms:created>
  <dcterms:modified xsi:type="dcterms:W3CDTF">2026-09-29T16:25:47Z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2026-09-29T16:25:20Z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dd346655-ad1f-4d69-80fa-f1636cc10974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